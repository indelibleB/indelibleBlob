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pro_000\Downloads\"/>
    </mc:Choice>
  </mc:AlternateContent>
  <xr:revisionPtr revIDLastSave="0" documentId="8_{20E9C762-5D40-4526-81D9-C9AE821A68AD}" xr6:coauthVersionLast="47" xr6:coauthVersionMax="47" xr10:uidLastSave="{00000000-0000-0000-0000-000000000000}"/>
  <bookViews>
    <workbookView xWindow="24" yWindow="384" windowWidth="23016" windowHeight="12360" xr2:uid="{00000000-000D-0000-FFFF-FFFF00000000}"/>
  </bookViews>
  <sheets>
    <sheet name="Overview" sheetId="1" r:id="rId1"/>
    <sheet name="Revenue" sheetId="2" r:id="rId2"/>
    <sheet name="COGS" sheetId="3" r:id="rId3"/>
    <sheet name="Marketing" sheetId="4" r:id="rId4"/>
    <sheet name="Staffing" sheetId="5" r:id="rId5"/>
    <sheet name="Misc Expenses" sheetId="6" r:id="rId6"/>
    <sheet name="Assump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5" i="7" l="1"/>
  <c r="O35" i="7"/>
  <c r="N35" i="7"/>
  <c r="L35" i="7"/>
  <c r="K35" i="7"/>
  <c r="J35" i="7"/>
  <c r="H35" i="7"/>
  <c r="G35" i="7"/>
  <c r="F35" i="7"/>
  <c r="D35" i="7"/>
  <c r="C35" i="7"/>
  <c r="B35" i="7"/>
  <c r="H12" i="7"/>
  <c r="H16" i="7" s="1"/>
  <c r="F12" i="7"/>
  <c r="F16" i="7" s="1"/>
  <c r="D12" i="7"/>
  <c r="D16" i="7" s="1"/>
  <c r="H8" i="7"/>
  <c r="G8" i="7"/>
  <c r="G12" i="7" s="1"/>
  <c r="F8" i="7"/>
  <c r="D8" i="7"/>
  <c r="C8" i="7"/>
  <c r="C12" i="7" s="1"/>
  <c r="P6" i="7"/>
  <c r="P8" i="7" s="1"/>
  <c r="P12" i="7" s="1"/>
  <c r="O6" i="7"/>
  <c r="O8" i="7" s="1"/>
  <c r="O12" i="7" s="1"/>
  <c r="N6" i="7"/>
  <c r="N8" i="7" s="1"/>
  <c r="N12" i="7" s="1"/>
  <c r="L6" i="7"/>
  <c r="L8" i="7" s="1"/>
  <c r="L12" i="7" s="1"/>
  <c r="K6" i="7"/>
  <c r="K8" i="7" s="1"/>
  <c r="K12" i="7" s="1"/>
  <c r="J6" i="7"/>
  <c r="J8" i="7" s="1"/>
  <c r="J12" i="7" s="1"/>
  <c r="H6" i="7"/>
  <c r="G6" i="7"/>
  <c r="F6" i="7"/>
  <c r="D6" i="7"/>
  <c r="C6" i="7"/>
  <c r="B6" i="7"/>
  <c r="B8" i="7" s="1"/>
  <c r="B12" i="7" s="1"/>
  <c r="P36" i="6"/>
  <c r="O36" i="6"/>
  <c r="N36" i="6"/>
  <c r="L36" i="6"/>
  <c r="K36" i="6"/>
  <c r="J36" i="6"/>
  <c r="H36" i="6"/>
  <c r="G36" i="6"/>
  <c r="F36" i="6"/>
  <c r="D36" i="6"/>
  <c r="C36" i="6"/>
  <c r="B36" i="6"/>
  <c r="P28" i="6"/>
  <c r="O28" i="6"/>
  <c r="N28" i="6"/>
  <c r="L28" i="6"/>
  <c r="K28" i="6"/>
  <c r="J28" i="6"/>
  <c r="H28" i="6"/>
  <c r="G28" i="6"/>
  <c r="F28" i="6"/>
  <c r="D28" i="6"/>
  <c r="C28" i="6"/>
  <c r="B28" i="6"/>
  <c r="P14" i="6"/>
  <c r="O14" i="6"/>
  <c r="N14" i="6"/>
  <c r="L14" i="6"/>
  <c r="K14" i="6"/>
  <c r="J14" i="6"/>
  <c r="H14" i="6"/>
  <c r="G14" i="6"/>
  <c r="F14" i="6"/>
  <c r="D14" i="6"/>
  <c r="C14" i="6"/>
  <c r="B14" i="6"/>
  <c r="P3" i="6"/>
  <c r="O3" i="6"/>
  <c r="N3" i="6"/>
  <c r="L3" i="6"/>
  <c r="K3" i="6"/>
  <c r="J3" i="6"/>
  <c r="H3" i="6"/>
  <c r="G3" i="6"/>
  <c r="F3" i="6"/>
  <c r="D3" i="6"/>
  <c r="C3" i="6"/>
  <c r="B3" i="6"/>
  <c r="P16" i="5"/>
  <c r="O16" i="5"/>
  <c r="N16" i="5"/>
  <c r="L16" i="5"/>
  <c r="K16" i="5"/>
  <c r="J16" i="5"/>
  <c r="H16" i="5"/>
  <c r="G16" i="5"/>
  <c r="F16" i="5"/>
  <c r="D16" i="5"/>
  <c r="C16" i="5"/>
  <c r="B16" i="5"/>
  <c r="O14" i="5"/>
  <c r="K14" i="5"/>
  <c r="J14" i="5"/>
  <c r="F14" i="5"/>
  <c r="C14" i="5"/>
  <c r="B14" i="5"/>
  <c r="P9" i="5"/>
  <c r="O9" i="5"/>
  <c r="N9" i="5"/>
  <c r="L9" i="5"/>
  <c r="K9" i="5"/>
  <c r="J9" i="5"/>
  <c r="H9" i="5"/>
  <c r="G9" i="5"/>
  <c r="F9" i="5"/>
  <c r="D9" i="5"/>
  <c r="C9" i="5"/>
  <c r="B9" i="5"/>
  <c r="P3" i="5"/>
  <c r="P14" i="5" s="1"/>
  <c r="Q18" i="1" s="1"/>
  <c r="O3" i="5"/>
  <c r="O20" i="5" s="1"/>
  <c r="N3" i="5"/>
  <c r="N14" i="5" s="1"/>
  <c r="O18" i="1" s="1"/>
  <c r="L3" i="5"/>
  <c r="L14" i="5" s="1"/>
  <c r="M18" i="1" s="1"/>
  <c r="K3" i="5"/>
  <c r="K20" i="5" s="1"/>
  <c r="J3" i="5"/>
  <c r="J20" i="5" s="1"/>
  <c r="H3" i="5"/>
  <c r="G3" i="5"/>
  <c r="F3" i="5"/>
  <c r="F20" i="5" s="1"/>
  <c r="D3" i="5"/>
  <c r="C3" i="5"/>
  <c r="C20" i="5" s="1"/>
  <c r="B3" i="5"/>
  <c r="B20" i="5" s="1"/>
  <c r="P12" i="4"/>
  <c r="O12" i="4"/>
  <c r="N12" i="4"/>
  <c r="L12" i="4"/>
  <c r="K12" i="4"/>
  <c r="J12" i="4"/>
  <c r="H12" i="4"/>
  <c r="G12" i="4"/>
  <c r="F12" i="4"/>
  <c r="D12" i="4"/>
  <c r="C12" i="4"/>
  <c r="B12" i="4"/>
  <c r="P7" i="4"/>
  <c r="O7" i="4"/>
  <c r="N7" i="4"/>
  <c r="L7" i="4"/>
  <c r="K7" i="4"/>
  <c r="K15" i="4" s="1"/>
  <c r="J7" i="4"/>
  <c r="J15" i="4" s="1"/>
  <c r="H7" i="4"/>
  <c r="H15" i="4" s="1"/>
  <c r="G7" i="4"/>
  <c r="G15" i="4" s="1"/>
  <c r="F7" i="4"/>
  <c r="D7" i="4"/>
  <c r="C7" i="4"/>
  <c r="B7" i="4"/>
  <c r="P3" i="4"/>
  <c r="P15" i="4" s="1"/>
  <c r="O3" i="4"/>
  <c r="O15" i="4" s="1"/>
  <c r="N3" i="4"/>
  <c r="N15" i="4" s="1"/>
  <c r="L3" i="4"/>
  <c r="L15" i="4" s="1"/>
  <c r="K3" i="4"/>
  <c r="J3" i="4"/>
  <c r="H3" i="4"/>
  <c r="G3" i="4"/>
  <c r="F3" i="4"/>
  <c r="F15" i="4" s="1"/>
  <c r="D3" i="4"/>
  <c r="D15" i="4" s="1"/>
  <c r="C3" i="4"/>
  <c r="C15" i="4" s="1"/>
  <c r="B3" i="4"/>
  <c r="B15" i="4" s="1"/>
  <c r="P15" i="3"/>
  <c r="Q8" i="1" s="1"/>
  <c r="O15" i="3"/>
  <c r="P8" i="1" s="1"/>
  <c r="P27" i="1" s="1"/>
  <c r="N15" i="3"/>
  <c r="O8" i="1" s="1"/>
  <c r="L15" i="3"/>
  <c r="M8" i="1" s="1"/>
  <c r="K15" i="3"/>
  <c r="L8" i="1" s="1"/>
  <c r="J15" i="3"/>
  <c r="K8" i="1" s="1"/>
  <c r="H15" i="3"/>
  <c r="I8" i="1" s="1"/>
  <c r="G15" i="3"/>
  <c r="H8" i="1" s="1"/>
  <c r="F15" i="3"/>
  <c r="G8" i="1" s="1"/>
  <c r="D15" i="3"/>
  <c r="E8" i="1" s="1"/>
  <c r="C15" i="3"/>
  <c r="D8" i="1" s="1"/>
  <c r="B15" i="3"/>
  <c r="C8" i="1" s="1"/>
  <c r="P7" i="3"/>
  <c r="O7" i="3"/>
  <c r="N7" i="3"/>
  <c r="L7" i="3"/>
  <c r="K7" i="3"/>
  <c r="J7" i="3"/>
  <c r="H7" i="3"/>
  <c r="G7" i="3"/>
  <c r="F7" i="3"/>
  <c r="D7" i="3"/>
  <c r="C7" i="3"/>
  <c r="B7" i="3"/>
  <c r="R7" i="3" s="1"/>
  <c r="P3" i="3"/>
  <c r="O3" i="3"/>
  <c r="R3" i="3" s="1"/>
  <c r="N3" i="3"/>
  <c r="L3" i="3"/>
  <c r="K3" i="3"/>
  <c r="J3" i="3"/>
  <c r="H3" i="3"/>
  <c r="G3" i="3"/>
  <c r="F3" i="3"/>
  <c r="D3" i="3"/>
  <c r="C3" i="3"/>
  <c r="B3" i="3"/>
  <c r="Q13" i="2"/>
  <c r="Q6" i="1" s="1"/>
  <c r="P13" i="2"/>
  <c r="P6" i="1" s="1"/>
  <c r="O13" i="2"/>
  <c r="O6" i="1" s="1"/>
  <c r="M13" i="2"/>
  <c r="M6" i="1" s="1"/>
  <c r="L13" i="2"/>
  <c r="L6" i="1" s="1"/>
  <c r="K13" i="2"/>
  <c r="I13" i="2"/>
  <c r="H13" i="2"/>
  <c r="G13" i="2"/>
  <c r="E13" i="2"/>
  <c r="D13" i="2"/>
  <c r="C13" i="2"/>
  <c r="Q11" i="2"/>
  <c r="Q9" i="2" s="1"/>
  <c r="Q5" i="1" s="1"/>
  <c r="P11" i="2"/>
  <c r="P9" i="2" s="1"/>
  <c r="P5" i="1" s="1"/>
  <c r="O11" i="2"/>
  <c r="O9" i="2" s="1"/>
  <c r="O5" i="1" s="1"/>
  <c r="M11" i="2"/>
  <c r="M9" i="2" s="1"/>
  <c r="M5" i="1" s="1"/>
  <c r="L11" i="2"/>
  <c r="L9" i="2" s="1"/>
  <c r="L5" i="1" s="1"/>
  <c r="K11" i="2"/>
  <c r="K9" i="2" s="1"/>
  <c r="K5" i="1" s="1"/>
  <c r="I11" i="2"/>
  <c r="I9" i="2" s="1"/>
  <c r="I5" i="1" s="1"/>
  <c r="H11" i="2"/>
  <c r="H9" i="2" s="1"/>
  <c r="H5" i="1" s="1"/>
  <c r="G11" i="2"/>
  <c r="G9" i="2" s="1"/>
  <c r="G5" i="1" s="1"/>
  <c r="E11" i="2"/>
  <c r="D11" i="2"/>
  <c r="C11" i="2"/>
  <c r="E9" i="2"/>
  <c r="E5" i="1" s="1"/>
  <c r="D9" i="2"/>
  <c r="D5" i="1" s="1"/>
  <c r="C9" i="2"/>
  <c r="C5" i="1" s="1"/>
  <c r="Q7" i="2"/>
  <c r="P7" i="2"/>
  <c r="O7" i="2"/>
  <c r="M7" i="2"/>
  <c r="L7" i="2"/>
  <c r="K7" i="2"/>
  <c r="I7" i="2"/>
  <c r="H7" i="2"/>
  <c r="G7" i="2"/>
  <c r="E7" i="2"/>
  <c r="D7" i="2"/>
  <c r="C7" i="2"/>
  <c r="Q6" i="2"/>
  <c r="P6" i="2"/>
  <c r="O6" i="2"/>
  <c r="M6" i="2"/>
  <c r="L6" i="2"/>
  <c r="K6" i="2"/>
  <c r="I6" i="2"/>
  <c r="H6" i="2"/>
  <c r="G6" i="2"/>
  <c r="E6" i="2"/>
  <c r="D6" i="2"/>
  <c r="C6" i="2"/>
  <c r="C3" i="2" s="1"/>
  <c r="Q5" i="2"/>
  <c r="Q3" i="2" s="1"/>
  <c r="Q4" i="1" s="1"/>
  <c r="P5" i="2"/>
  <c r="P3" i="2" s="1"/>
  <c r="P4" i="1" s="1"/>
  <c r="O5" i="2"/>
  <c r="O3" i="2" s="1"/>
  <c r="O4" i="1" s="1"/>
  <c r="O3" i="1" s="1"/>
  <c r="M5" i="2"/>
  <c r="M3" i="2" s="1"/>
  <c r="M4" i="1" s="1"/>
  <c r="M3" i="1" s="1"/>
  <c r="L5" i="2"/>
  <c r="L3" i="2" s="1"/>
  <c r="L4" i="1" s="1"/>
  <c r="L3" i="1" s="1"/>
  <c r="K5" i="2"/>
  <c r="K3" i="2" s="1"/>
  <c r="K4" i="1" s="1"/>
  <c r="K3" i="1" s="1"/>
  <c r="I5" i="2"/>
  <c r="I3" i="2" s="1"/>
  <c r="I4" i="1" s="1"/>
  <c r="I3" i="1" s="1"/>
  <c r="H5" i="2"/>
  <c r="H3" i="2" s="1"/>
  <c r="H4" i="1" s="1"/>
  <c r="H3" i="1" s="1"/>
  <c r="G5" i="2"/>
  <c r="E5" i="2"/>
  <c r="D5" i="2"/>
  <c r="C5" i="2"/>
  <c r="G3" i="2"/>
  <c r="G4" i="1" s="1"/>
  <c r="E3" i="2"/>
  <c r="E4" i="1" s="1"/>
  <c r="D3" i="2"/>
  <c r="D4" i="1" s="1"/>
  <c r="Q25" i="1"/>
  <c r="P25" i="1"/>
  <c r="O25" i="1"/>
  <c r="M25" i="1"/>
  <c r="S25" i="1" s="1"/>
  <c r="L25" i="1"/>
  <c r="K25" i="1"/>
  <c r="I25" i="1"/>
  <c r="H25" i="1"/>
  <c r="G25" i="1"/>
  <c r="E25" i="1"/>
  <c r="D25" i="1"/>
  <c r="C25" i="1"/>
  <c r="Q23" i="1"/>
  <c r="P23" i="1"/>
  <c r="O23" i="1"/>
  <c r="M23" i="1"/>
  <c r="L23" i="1"/>
  <c r="K23" i="1"/>
  <c r="I23" i="1"/>
  <c r="S23" i="1" s="1"/>
  <c r="H23" i="1"/>
  <c r="G23" i="1"/>
  <c r="E23" i="1"/>
  <c r="D23" i="1"/>
  <c r="C23" i="1"/>
  <c r="Q22" i="1"/>
  <c r="Q21" i="1" s="1"/>
  <c r="P22" i="1"/>
  <c r="P21" i="1" s="1"/>
  <c r="O22" i="1"/>
  <c r="O21" i="1" s="1"/>
  <c r="M22" i="1"/>
  <c r="M21" i="1" s="1"/>
  <c r="L22" i="1"/>
  <c r="L21" i="1" s="1"/>
  <c r="K22" i="1"/>
  <c r="K21" i="1" s="1"/>
  <c r="I22" i="1"/>
  <c r="I21" i="1" s="1"/>
  <c r="H22" i="1"/>
  <c r="H21" i="1" s="1"/>
  <c r="G22" i="1"/>
  <c r="G21" i="1" s="1"/>
  <c r="E22" i="1"/>
  <c r="E21" i="1" s="1"/>
  <c r="D22" i="1"/>
  <c r="C22" i="1"/>
  <c r="D21" i="1"/>
  <c r="C21" i="1"/>
  <c r="S19" i="1"/>
  <c r="Q19" i="1"/>
  <c r="P19" i="1"/>
  <c r="O19" i="1"/>
  <c r="M19" i="1"/>
  <c r="L19" i="1"/>
  <c r="K19" i="1"/>
  <c r="I19" i="1"/>
  <c r="H19" i="1"/>
  <c r="G19" i="1"/>
  <c r="E19" i="1"/>
  <c r="D19" i="1"/>
  <c r="C19" i="1"/>
  <c r="P18" i="1"/>
  <c r="L18" i="1"/>
  <c r="K18" i="1"/>
  <c r="G18" i="1"/>
  <c r="D18" i="1"/>
  <c r="C18" i="1"/>
  <c r="Q17" i="1"/>
  <c r="P17" i="1"/>
  <c r="O17" i="1"/>
  <c r="M17" i="1"/>
  <c r="L17" i="1"/>
  <c r="K17" i="1"/>
  <c r="S17" i="1" s="1"/>
  <c r="I17" i="1"/>
  <c r="H17" i="1"/>
  <c r="G17" i="1"/>
  <c r="E17" i="1"/>
  <c r="D17" i="1"/>
  <c r="C17" i="1"/>
  <c r="Q16" i="1"/>
  <c r="P16" i="1"/>
  <c r="P15" i="1" s="1"/>
  <c r="O16" i="1"/>
  <c r="O15" i="1" s="1"/>
  <c r="M16" i="1"/>
  <c r="M15" i="1" s="1"/>
  <c r="L16" i="1"/>
  <c r="L15" i="1" s="1"/>
  <c r="K16" i="1"/>
  <c r="K15" i="1" s="1"/>
  <c r="I16" i="1"/>
  <c r="H16" i="1"/>
  <c r="G16" i="1"/>
  <c r="S16" i="1" s="1"/>
  <c r="E16" i="1"/>
  <c r="D16" i="1"/>
  <c r="C16" i="1"/>
  <c r="D15" i="1"/>
  <c r="C15" i="1"/>
  <c r="Q13" i="1"/>
  <c r="P13" i="1"/>
  <c r="O13" i="1"/>
  <c r="M13" i="1"/>
  <c r="L13" i="1"/>
  <c r="K13" i="1"/>
  <c r="I13" i="1"/>
  <c r="H13" i="1"/>
  <c r="G13" i="1"/>
  <c r="E13" i="1"/>
  <c r="D13" i="1"/>
  <c r="C13" i="1"/>
  <c r="S13" i="1" s="1"/>
  <c r="Q12" i="1"/>
  <c r="P12" i="1"/>
  <c r="S12" i="1" s="1"/>
  <c r="O12" i="1"/>
  <c r="M12" i="1"/>
  <c r="L12" i="1"/>
  <c r="K12" i="1"/>
  <c r="I12" i="1"/>
  <c r="H12" i="1"/>
  <c r="G12" i="1"/>
  <c r="G10" i="1" s="1"/>
  <c r="E12" i="1"/>
  <c r="D12" i="1"/>
  <c r="C12" i="1"/>
  <c r="Q11" i="1"/>
  <c r="Q10" i="1" s="1"/>
  <c r="P11" i="1"/>
  <c r="P10" i="1" s="1"/>
  <c r="O11" i="1"/>
  <c r="O10" i="1" s="1"/>
  <c r="M11" i="1"/>
  <c r="M10" i="1" s="1"/>
  <c r="L11" i="1"/>
  <c r="S11" i="1" s="1"/>
  <c r="K11" i="1"/>
  <c r="I11" i="1"/>
  <c r="H11" i="1"/>
  <c r="G11" i="1"/>
  <c r="E11" i="1"/>
  <c r="E10" i="1" s="1"/>
  <c r="D11" i="1"/>
  <c r="D10" i="1" s="1"/>
  <c r="C11" i="1"/>
  <c r="C10" i="1" s="1"/>
  <c r="K10" i="1"/>
  <c r="I10" i="1"/>
  <c r="H10" i="1"/>
  <c r="K6" i="1"/>
  <c r="I6" i="1"/>
  <c r="H6" i="1"/>
  <c r="G6" i="1"/>
  <c r="E6" i="1"/>
  <c r="D6" i="1"/>
  <c r="C6" i="1"/>
  <c r="B16" i="7" l="1"/>
  <c r="B27" i="7"/>
  <c r="S10" i="1"/>
  <c r="D27" i="1"/>
  <c r="G27" i="1"/>
  <c r="N16" i="7"/>
  <c r="N27" i="7"/>
  <c r="S21" i="1"/>
  <c r="Q3" i="1"/>
  <c r="O16" i="7"/>
  <c r="O27" i="7"/>
  <c r="P16" i="7"/>
  <c r="P27" i="7"/>
  <c r="Q15" i="1"/>
  <c r="Q27" i="1" s="1"/>
  <c r="K27" i="7"/>
  <c r="K16" i="7"/>
  <c r="S6" i="1"/>
  <c r="S3" i="2"/>
  <c r="C4" i="1"/>
  <c r="D3" i="1"/>
  <c r="C16" i="7"/>
  <c r="C27" i="7"/>
  <c r="J16" i="7"/>
  <c r="J27" i="7"/>
  <c r="P3" i="1"/>
  <c r="P29" i="1" s="1"/>
  <c r="H20" i="5"/>
  <c r="K27" i="1"/>
  <c r="K29" i="1" s="1"/>
  <c r="L27" i="1"/>
  <c r="L29" i="1" s="1"/>
  <c r="S5" i="1"/>
  <c r="C27" i="1"/>
  <c r="S8" i="1"/>
  <c r="L16" i="7"/>
  <c r="L27" i="7"/>
  <c r="E3" i="1"/>
  <c r="G3" i="1"/>
  <c r="M27" i="1"/>
  <c r="M29" i="1" s="1"/>
  <c r="H15" i="1"/>
  <c r="H27" i="1" s="1"/>
  <c r="H29" i="1" s="1"/>
  <c r="O27" i="1"/>
  <c r="O29" i="1" s="1"/>
  <c r="G16" i="7"/>
  <c r="G27" i="7"/>
  <c r="L20" i="5"/>
  <c r="N20" i="5"/>
  <c r="D14" i="5"/>
  <c r="E18" i="1" s="1"/>
  <c r="P20" i="5"/>
  <c r="G14" i="5"/>
  <c r="H18" i="1" s="1"/>
  <c r="H14" i="5"/>
  <c r="I18" i="1" s="1"/>
  <c r="I15" i="1" s="1"/>
  <c r="I27" i="1" s="1"/>
  <c r="I29" i="1" s="1"/>
  <c r="G15" i="1"/>
  <c r="S9" i="2"/>
  <c r="R15" i="3"/>
  <c r="S13" i="2"/>
  <c r="L10" i="1"/>
  <c r="S22" i="1"/>
  <c r="D27" i="7"/>
  <c r="F27" i="7"/>
  <c r="H27" i="7"/>
  <c r="G29" i="1" l="1"/>
  <c r="O25" i="7"/>
  <c r="O30" i="7" s="1"/>
  <c r="O36" i="7" s="1"/>
  <c r="B34" i="7"/>
  <c r="B22" i="7"/>
  <c r="G20" i="5"/>
  <c r="N25" i="7"/>
  <c r="N30" i="7" s="1"/>
  <c r="N36" i="7" s="1"/>
  <c r="P25" i="7"/>
  <c r="P30" i="7" s="1"/>
  <c r="P36" i="7" s="1"/>
  <c r="S18" i="1"/>
  <c r="E15" i="1"/>
  <c r="D29" i="1"/>
  <c r="Q29" i="1"/>
  <c r="D20" i="5"/>
  <c r="C3" i="1"/>
  <c r="S4" i="1"/>
  <c r="S3" i="1" l="1"/>
  <c r="C29" i="1"/>
  <c r="S15" i="1"/>
  <c r="E27" i="1"/>
  <c r="B25" i="7"/>
  <c r="B30" i="7" s="1"/>
  <c r="B36" i="7" s="1"/>
  <c r="B38" i="7" s="1"/>
  <c r="C20" i="7"/>
  <c r="C34" i="7" l="1"/>
  <c r="C22" i="7"/>
  <c r="E29" i="1"/>
  <c r="S29" i="1" s="1"/>
  <c r="S27" i="1"/>
  <c r="C25" i="7" l="1"/>
  <c r="C30" i="7" s="1"/>
  <c r="C36" i="7" s="1"/>
  <c r="D20" i="7"/>
  <c r="C38" i="7"/>
  <c r="D34" i="7" l="1"/>
  <c r="D22" i="7"/>
  <c r="D25" i="7" l="1"/>
  <c r="D30" i="7" s="1"/>
  <c r="D36" i="7" s="1"/>
  <c r="D38" i="7" s="1"/>
  <c r="F20" i="7"/>
  <c r="F22" i="7" l="1"/>
  <c r="F34" i="7"/>
  <c r="F25" i="7" l="1"/>
  <c r="F30" i="7" s="1"/>
  <c r="F36" i="7" s="1"/>
  <c r="F38" i="7" s="1"/>
  <c r="G20" i="7"/>
  <c r="G22" i="7" l="1"/>
  <c r="G34" i="7"/>
  <c r="H20" i="7" l="1"/>
  <c r="G25" i="7"/>
  <c r="G30" i="7" s="1"/>
  <c r="G36" i="7" s="1"/>
  <c r="G38" i="7" s="1"/>
  <c r="H34" i="7" l="1"/>
  <c r="H22" i="7"/>
  <c r="J20" i="7" l="1"/>
  <c r="H25" i="7"/>
  <c r="H30" i="7" s="1"/>
  <c r="H36" i="7" s="1"/>
  <c r="H38" i="7" s="1"/>
  <c r="J34" i="7" l="1"/>
  <c r="J22" i="7"/>
  <c r="K20" i="7" l="1"/>
  <c r="J25" i="7"/>
  <c r="J30" i="7" s="1"/>
  <c r="J36" i="7" s="1"/>
  <c r="J38" i="7" s="1"/>
  <c r="K22" i="7" l="1"/>
  <c r="K34" i="7"/>
  <c r="L20" i="7" l="1"/>
  <c r="K25" i="7"/>
  <c r="K30" i="7" s="1"/>
  <c r="K36" i="7" s="1"/>
  <c r="K38" i="7" s="1"/>
  <c r="L34" i="7" l="1"/>
  <c r="L22" i="7"/>
  <c r="N20" i="7" l="1"/>
  <c r="L25" i="7"/>
  <c r="L30" i="7" s="1"/>
  <c r="L36" i="7" s="1"/>
  <c r="L38" i="7" s="1"/>
  <c r="N34" i="7" l="1"/>
  <c r="N38" i="7" s="1"/>
  <c r="N22" i="7"/>
  <c r="O20" i="7" s="1"/>
  <c r="O22" i="7" l="1"/>
  <c r="P20" i="7" s="1"/>
  <c r="O34" i="7"/>
  <c r="O38" i="7" s="1"/>
  <c r="P34" i="7" l="1"/>
  <c r="P38" i="7" s="1"/>
  <c r="P2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600-000001000000}">
      <text>
        <r>
          <rPr>
            <sz val="10"/>
            <color rgb="FF000000"/>
            <rFont val="Arial"/>
            <family val="2"/>
          </rPr>
          <t xml:space="preserve">We start by determining how many customers we will drive to our store/product/service.		</t>
        </r>
      </text>
    </comment>
    <comment ref="A4" authorId="0" shapeId="0" xr:uid="{00000000-0006-0000-0600-000002000000}">
      <text>
        <r>
          <rPr>
            <sz val="10"/>
            <color rgb="FF000000"/>
            <rFont val="Arial"/>
            <family val="2"/>
          </rPr>
          <t>The total amount of budget we intend to spend to acquire customers (if any)</t>
        </r>
      </text>
    </comment>
    <comment ref="A5" authorId="0" shapeId="0" xr:uid="{00000000-0006-0000-0600-000003000000}">
      <text>
        <r>
          <rPr>
            <sz val="10"/>
            <color rgb="FF000000"/>
            <rFont val="Arial"/>
            <family val="2"/>
          </rPr>
          <t>Total cost per paid visitor.  This will change over time and is initially a best estimate.</t>
        </r>
      </text>
    </comment>
    <comment ref="A6" authorId="0" shapeId="0" xr:uid="{00000000-0006-0000-0600-000004000000}">
      <text>
        <r>
          <rPr>
            <sz val="10"/>
            <color rgb="FF000000"/>
            <rFont val="Arial"/>
            <family val="2"/>
          </rPr>
          <t>Total number of potential customers (visitors, leads, prospects) before anyone actually purchases</t>
        </r>
      </text>
    </comment>
    <comment ref="A7" authorId="0" shapeId="0" xr:uid="{00000000-0006-0000-0600-000005000000}">
      <text>
        <r>
          <rPr>
            <sz val="10"/>
            <color rgb="FF000000"/>
            <rFont val="Arial"/>
            <family val="2"/>
          </rPr>
          <t>Total number of visitors coming from non-paid channels (referrals, word of mouth, email, SEO)</t>
        </r>
      </text>
    </comment>
    <comment ref="A8" authorId="0" shapeId="0" xr:uid="{00000000-0006-0000-0600-000006000000}">
      <text>
        <r>
          <rPr>
            <sz val="10"/>
            <color rgb="FF000000"/>
            <rFont val="Arial"/>
            <family val="2"/>
          </rPr>
          <t>Total number of visitors from both paid and organic sources</t>
        </r>
      </text>
    </comment>
    <comment ref="A10" authorId="0" shapeId="0" xr:uid="{00000000-0006-0000-0600-000007000000}">
      <text>
        <r>
          <rPr>
            <sz val="10"/>
            <color rgb="FF000000"/>
            <rFont val="Arial"/>
            <family val="2"/>
          </rPr>
          <t>We now know how many potential customers we have.  Now let's see how many buy something.</t>
        </r>
      </text>
    </comment>
    <comment ref="A11" authorId="0" shapeId="0" xr:uid="{00000000-0006-0000-0600-000008000000}">
      <text>
        <r>
          <rPr>
            <sz val="10"/>
            <color rgb="FF000000"/>
            <rFont val="Arial"/>
            <family val="2"/>
          </rPr>
          <t>What percentage of our visitors purchase our product?  We will learn this as we get more and more visitors over time.</t>
        </r>
      </text>
    </comment>
    <comment ref="A12" authorId="0" shapeId="0" xr:uid="{00000000-0006-0000-0600-000009000000}">
      <text>
        <r>
          <rPr>
            <sz val="10"/>
            <color rgb="FF000000"/>
            <rFont val="Arial"/>
            <family val="2"/>
          </rPr>
          <t xml:space="preserve">Total number of customers who will actually pay for something.  </t>
        </r>
      </text>
    </comment>
    <comment ref="A14" authorId="0" shapeId="0" xr:uid="{00000000-0006-0000-0600-00000A000000}">
      <text>
        <r>
          <rPr>
            <sz val="10"/>
            <color rgb="FF000000"/>
            <rFont val="Arial"/>
            <family val="2"/>
          </rPr>
          <t>We now know how many customers will purchase.  Now let's see how much revenue that will generate.</t>
        </r>
      </text>
    </comment>
    <comment ref="A15" authorId="0" shapeId="0" xr:uid="{00000000-0006-0000-0600-00000B000000}">
      <text>
        <r>
          <rPr>
            <sz val="10"/>
            <color rgb="FF000000"/>
            <rFont val="Arial"/>
            <family val="2"/>
          </rPr>
          <t>How much does the average customer spend?  This may need to be spread over a series of months for recurring products.</t>
        </r>
      </text>
    </comment>
    <comment ref="A16" authorId="0" shapeId="0" xr:uid="{00000000-0006-0000-0600-00000C000000}">
      <text>
        <r>
          <rPr>
            <sz val="10"/>
            <color rgb="FF000000"/>
            <rFont val="Arial"/>
            <family val="2"/>
          </rPr>
          <t>This is the total amount of revenue our marketing spend (CAC &gt; Budget) will generate.</t>
        </r>
      </text>
    </comment>
    <comment ref="B20" authorId="0" shapeId="0" xr:uid="{00000000-0006-0000-0600-00000D000000}">
      <text>
        <r>
          <rPr>
            <sz val="10"/>
            <color rgb="FF000000"/>
            <rFont val="Arial"/>
            <family val="2"/>
          </rPr>
          <t>Insert any recurring revenue that is already being tracked prior to this Income Statement, if any.</t>
        </r>
      </text>
    </comment>
    <comment ref="A24" authorId="0" shapeId="0" xr:uid="{00000000-0006-0000-0600-00000E000000}">
      <text>
        <r>
          <rPr>
            <sz val="10"/>
            <color rgb="FF000000"/>
            <rFont val="Arial"/>
            <family val="2"/>
          </rPr>
          <t>We now know how much revenue our marketing will generate.  Now let's calculate the cost of delivering our product.</t>
        </r>
      </text>
    </comment>
    <comment ref="A25" authorId="0" shapeId="0" xr:uid="{00000000-0006-0000-0600-00000F000000}">
      <text>
        <r>
          <rPr>
            <sz val="10"/>
            <color rgb="FF000000"/>
            <rFont val="Arial"/>
            <family val="2"/>
          </rPr>
          <t>Total cost of credit card processing fees averaging 3% per transaction (Calculated against "Total Customer Revenue")</t>
        </r>
      </text>
    </comment>
    <comment ref="A26" authorId="0" shapeId="0" xr:uid="{00000000-0006-0000-0600-000010000000}">
      <text>
        <r>
          <rPr>
            <sz val="10"/>
            <color rgb="FF000000"/>
            <rFont val="Arial"/>
            <family val="2"/>
          </rPr>
          <t>The "unit cost" of each item sold.</t>
        </r>
      </text>
    </comment>
    <comment ref="A27" authorId="0" shapeId="0" xr:uid="{00000000-0006-0000-0600-000011000000}">
      <text>
        <r>
          <rPr>
            <sz val="10"/>
            <color rgb="FF000000"/>
            <rFont val="Arial"/>
            <family val="2"/>
          </rPr>
          <t>Total cost of products based on "Total Number of Paid Customers" value. This may vary quite a bit based on usage and delivery.</t>
        </r>
      </text>
    </comment>
    <comment ref="A28" authorId="0" shapeId="0" xr:uid="{00000000-0006-0000-0600-000012000000}">
      <text>
        <r>
          <rPr>
            <sz val="10"/>
            <color rgb="FF000000"/>
            <rFont val="Arial"/>
            <family val="2"/>
          </rPr>
          <t>Optional line item for additional COGS items we may feel are relevant per sale.</t>
        </r>
      </text>
    </comment>
    <comment ref="A29" authorId="0" shapeId="0" xr:uid="{00000000-0006-0000-0600-000013000000}">
      <text>
        <r>
          <rPr>
            <sz val="10"/>
            <color rgb="FF000000"/>
            <rFont val="Arial"/>
            <family val="2"/>
          </rPr>
          <t>Optional line item for additional COGS items we may feel are relevant per sale.</t>
        </r>
      </text>
    </comment>
    <comment ref="A30" authorId="0" shapeId="0" xr:uid="{00000000-0006-0000-0600-000014000000}">
      <text>
        <r>
          <rPr>
            <sz val="10"/>
            <color rgb="FF000000"/>
            <rFont val="Arial"/>
            <family val="2"/>
          </rPr>
          <t>Total Cost of Goods for each sale represented in "Total Number of Paid Customers"</t>
        </r>
      </text>
    </comment>
    <comment ref="A32" authorId="0" shapeId="0" xr:uid="{00000000-0006-0000-0600-000015000000}">
      <text>
        <r>
          <rPr>
            <sz val="10"/>
            <color rgb="FF000000"/>
            <rFont val="Arial"/>
            <family val="2"/>
          </rPr>
          <t>Last we will take a sneak peek at how our Gross Margin works based on our assumptions.  The "Overview" Tab in this spreadsheet will do this more accurately.</t>
        </r>
      </text>
    </comment>
    <comment ref="A34" authorId="0" shapeId="0" xr:uid="{00000000-0006-0000-0600-000016000000}">
      <text>
        <r>
          <rPr>
            <sz val="10"/>
            <color rgb="FF000000"/>
            <rFont val="Arial"/>
            <family val="2"/>
          </rPr>
          <t>Total revenue we will have generated from all paying customers (New and Recurring)</t>
        </r>
      </text>
    </comment>
    <comment ref="A35" authorId="0" shapeId="0" xr:uid="{00000000-0006-0000-0600-000017000000}">
      <text>
        <r>
          <rPr>
            <sz val="10"/>
            <color rgb="FF000000"/>
            <rFont val="Arial"/>
            <family val="2"/>
          </rPr>
          <t>(MINUS) Total cost of our marketing/customer acquisition efforts (CAC)</t>
        </r>
      </text>
    </comment>
    <comment ref="A36" authorId="0" shapeId="0" xr:uid="{00000000-0006-0000-0600-000018000000}">
      <text>
        <r>
          <rPr>
            <sz val="10"/>
            <color rgb="FF000000"/>
            <rFont val="Arial"/>
            <family val="2"/>
          </rPr>
          <t>(MINUS) Total Cost of Goods Sold (COGS) combined</t>
        </r>
      </text>
    </comment>
    <comment ref="A38" authorId="0" shapeId="0" xr:uid="{00000000-0006-0000-0600-000019000000}">
      <text>
        <r>
          <rPr>
            <sz val="10"/>
            <color rgb="FF000000"/>
            <rFont val="Arial"/>
            <family val="2"/>
          </rPr>
          <t>The amount of capital we have left over to cover all of our other fixed expenses and (hopefully) turn a profit.</t>
        </r>
      </text>
    </comment>
  </commentList>
</comments>
</file>

<file path=xl/sharedStrings.xml><?xml version="1.0" encoding="utf-8"?>
<sst xmlns="http://schemas.openxmlformats.org/spreadsheetml/2006/main" count="203" uniqueCount="108">
  <si>
    <t>COGS</t>
  </si>
  <si>
    <t>Income Statement</t>
  </si>
  <si>
    <t>Jan</t>
  </si>
  <si>
    <t>Revenue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</si>
  <si>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</si>
  <si>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</si>
  <si>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</si>
  <si>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</si>
  <si>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</si>
  <si>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</si>
  <si>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</si>
  <si>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</si>
  <si>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</si>
  <si>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</si>
  <si>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</si>
  <si>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</si>
  <si>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Direct Costs</t>
  </si>
  <si>
    <t>Credit Card Revenue</t>
  </si>
  <si>
    <t>Unit Cost</t>
  </si>
  <si>
    <t>Income (Credits)</t>
  </si>
  <si>
    <t>Units Sold</t>
  </si>
  <si>
    <t>Refunds</t>
  </si>
  <si>
    <t>Variable Costs</t>
  </si>
  <si>
    <t>Chargebacks</t>
  </si>
  <si>
    <t>Facility (Rent, Mortgage, Taxes)</t>
  </si>
  <si>
    <t>Salaries of Maintenance Personnel</t>
  </si>
  <si>
    <t>Salaries of Manufacturing Managers</t>
  </si>
  <si>
    <t>Credit Cards</t>
  </si>
  <si>
    <t>Supplies for Production Facility</t>
  </si>
  <si>
    <t>Utilities for Production Facility</t>
  </si>
  <si>
    <t>Processing Fees</t>
  </si>
  <si>
    <t>Total COGS</t>
  </si>
  <si>
    <t>Checks Received</t>
  </si>
  <si>
    <t>Checks</t>
  </si>
  <si>
    <t>Total of Checks</t>
  </si>
  <si>
    <t>Other</t>
  </si>
  <si>
    <t>Other Sources</t>
  </si>
  <si>
    <t>Marketing</t>
  </si>
  <si>
    <t>Misc Sources of Revenue</t>
  </si>
  <si>
    <t>Online Channels</t>
  </si>
  <si>
    <t>Staffing</t>
  </si>
  <si>
    <t>W2 Staff</t>
  </si>
  <si>
    <t>The CEO</t>
  </si>
  <si>
    <t>Marketing Gal</t>
  </si>
  <si>
    <t>Developer Dude</t>
  </si>
  <si>
    <t>1099 Staff</t>
  </si>
  <si>
    <t>Web Designer</t>
  </si>
  <si>
    <t>Google Adwords</t>
  </si>
  <si>
    <t>Payroll Taxes</t>
  </si>
  <si>
    <t>Facebook Ads</t>
  </si>
  <si>
    <t>Offline Channels</t>
  </si>
  <si>
    <t>Referral Fees</t>
  </si>
  <si>
    <t>Print Ads</t>
  </si>
  <si>
    <t>Benefits</t>
  </si>
  <si>
    <t>Trade Shows</t>
  </si>
  <si>
    <t>Other Marketing Expenses</t>
  </si>
  <si>
    <t>Anything</t>
  </si>
  <si>
    <t>Healthcare Provider</t>
  </si>
  <si>
    <t>Total Marketing Costs</t>
  </si>
  <si>
    <t>Total Staffing Costs</t>
  </si>
  <si>
    <t>Payroll &amp; Staffing</t>
  </si>
  <si>
    <t>Assumptions</t>
  </si>
  <si>
    <t>Misc Expenses</t>
  </si>
  <si>
    <t>Yellow = Input Box</t>
  </si>
  <si>
    <t>Office Services</t>
  </si>
  <si>
    <t>Customer Acquisition Costs (CAC)</t>
  </si>
  <si>
    <t>Office Rent</t>
  </si>
  <si>
    <t xml:space="preserve">   Budget</t>
  </si>
  <si>
    <t>Internet Connectivity</t>
  </si>
  <si>
    <t>Hosting Bill</t>
  </si>
  <si>
    <t>Cleaning Service</t>
  </si>
  <si>
    <t xml:space="preserve">   Cost Per Visitor</t>
  </si>
  <si>
    <t xml:space="preserve">   Total Paid Visitors</t>
  </si>
  <si>
    <t>Subscription Services</t>
  </si>
  <si>
    <t>Total Organic Visitors</t>
  </si>
  <si>
    <t>Startups Unlimited Subscription</t>
  </si>
  <si>
    <t>Payroll Service</t>
  </si>
  <si>
    <t>Total ALL Visitors</t>
  </si>
  <si>
    <t>Meals and Entertainment</t>
  </si>
  <si>
    <t>Conversion Rate</t>
  </si>
  <si>
    <t xml:space="preserve">   Conversion to Paid Customers</t>
  </si>
  <si>
    <t>Team Dinner</t>
  </si>
  <si>
    <t>Placeholder Value</t>
  </si>
  <si>
    <t xml:space="preserve">   Total Number of Paid Customers</t>
  </si>
  <si>
    <t>Office Operations</t>
  </si>
  <si>
    <t>Order Value (New Revenue)</t>
  </si>
  <si>
    <t xml:space="preserve">   Average New Order Value</t>
  </si>
  <si>
    <t>Travel</t>
  </si>
  <si>
    <t>Cost</t>
  </si>
  <si>
    <t>Total New Revenue</t>
  </si>
  <si>
    <t>Recurring Revenue</t>
  </si>
  <si>
    <t>Churn Rate</t>
  </si>
  <si>
    <t>Total Recurring Revenue</t>
  </si>
  <si>
    <t>Miscellaneous</t>
  </si>
  <si>
    <t>Total Revenue</t>
  </si>
  <si>
    <t>Total Operating Expenses</t>
  </si>
  <si>
    <t>Cost of Goods Sold (COGS)</t>
  </si>
  <si>
    <t xml:space="preserve">   Credit Card Processing @ 3%</t>
  </si>
  <si>
    <t>Net Operating Income</t>
  </si>
  <si>
    <t xml:space="preserve">   Product Unit Cost</t>
  </si>
  <si>
    <t xml:space="preserve">   Total Product Cost</t>
  </si>
  <si>
    <t>Variable Cost #1</t>
  </si>
  <si>
    <t>Variable Cost #2</t>
  </si>
  <si>
    <t>Gross Margin</t>
  </si>
  <si>
    <t>Total Customer Revenue</t>
  </si>
  <si>
    <t xml:space="preserve">   Marketing (CAC) Costs</t>
  </si>
  <si>
    <t xml:space="preserve">   Cost of Goods Sold</t>
  </si>
  <si>
    <t xml:space="preserve">Total Gross Margin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</si>
</sst>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0_);\(0\)"/>
    <numFmt numFmtId="165" formatCode="#,##0.0000"/>
    <numFmt numFmtId="166" formatCode="&quot;$&quot;#,##0"/>
    <numFmt numFmtId="167" formatCode="&quot;$&quot;#,##0.00"/>
  </numFmts>
  <fonts count="19" x14ac:knownFonts="1">
    <font>
      <sz val="10"/>
      <color rgb="FF000000"/>
      <name val="Arial"/>
    </font>
    <font>
      <sz val="14"/>
      <color rgb="FFFFFFFF"/>
      <name val="Arial"/>
      <family val="2"/>
    </font>
    <font>
      <sz val="11"/>
      <color rgb="FFFFFFFF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4"/>
      <color rgb="FFFFFFFF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0"/>
      <color rgb="FFFF9900"/>
      <name val="Arial"/>
      <family val="2"/>
    </font>
    <font>
      <b/>
      <i/>
      <sz val="1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164" fontId="1" fillId="2" borderId="0" xfId="0" applyNumberFormat="1" applyFont="1" applyFill="1"/>
    <xf numFmtId="3" fontId="2" fillId="2" borderId="1" xfId="0" applyNumberFormat="1" applyFont="1" applyFill="1" applyBorder="1"/>
    <xf numFmtId="3" fontId="2" fillId="2" borderId="0" xfId="0" applyNumberFormat="1" applyFont="1" applyFill="1"/>
    <xf numFmtId="3" fontId="2" fillId="2" borderId="1" xfId="0" applyNumberFormat="1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/>
    </xf>
    <xf numFmtId="164" fontId="3" fillId="0" borderId="0" xfId="0" applyNumberFormat="1" applyFont="1"/>
    <xf numFmtId="3" fontId="4" fillId="0" borderId="0" xfId="0" applyNumberFormat="1" applyFont="1"/>
    <xf numFmtId="0" fontId="5" fillId="2" borderId="0" xfId="0" applyFont="1" applyFill="1"/>
    <xf numFmtId="3" fontId="6" fillId="0" borderId="0" xfId="0" applyNumberFormat="1" applyFont="1"/>
    <xf numFmtId="0" fontId="2" fillId="2" borderId="1" xfId="0" applyFont="1" applyFill="1" applyBorder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0" borderId="0" xfId="0" applyFont="1"/>
    <xf numFmtId="0" fontId="2" fillId="2" borderId="0" xfId="0" applyFont="1" applyFill="1" applyAlignment="1">
      <alignment horizontal="center"/>
    </xf>
    <xf numFmtId="41" fontId="4" fillId="0" borderId="0" xfId="0" applyNumberFormat="1" applyFont="1"/>
    <xf numFmtId="0" fontId="4" fillId="0" borderId="0" xfId="0" applyFont="1"/>
    <xf numFmtId="0" fontId="4" fillId="3" borderId="0" xfId="0" applyFont="1" applyFill="1"/>
    <xf numFmtId="3" fontId="4" fillId="3" borderId="0" xfId="0" applyNumberFormat="1" applyFont="1" applyFill="1"/>
    <xf numFmtId="0" fontId="4" fillId="0" borderId="0" xfId="0" applyFont="1" applyAlignment="1">
      <alignment horizontal="left"/>
    </xf>
    <xf numFmtId="41" fontId="6" fillId="3" borderId="0" xfId="0" applyNumberFormat="1" applyFont="1" applyFill="1" applyAlignment="1">
      <alignment horizontal="left"/>
    </xf>
    <xf numFmtId="3" fontId="7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6" fillId="3" borderId="0" xfId="0" applyNumberFormat="1" applyFont="1" applyFill="1"/>
    <xf numFmtId="3" fontId="8" fillId="0" borderId="0" xfId="0" applyNumberFormat="1" applyFont="1" applyAlignment="1">
      <alignment horizontal="right"/>
    </xf>
    <xf numFmtId="9" fontId="7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3" fontId="4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7" fillId="0" borderId="0" xfId="0" applyFont="1"/>
    <xf numFmtId="41" fontId="4" fillId="3" borderId="0" xfId="0" applyNumberFormat="1" applyFont="1" applyFill="1" applyAlignment="1">
      <alignment horizontal="left"/>
    </xf>
    <xf numFmtId="9" fontId="8" fillId="4" borderId="0" xfId="0" applyNumberFormat="1" applyFont="1" applyFill="1" applyAlignment="1">
      <alignment horizontal="right"/>
    </xf>
    <xf numFmtId="0" fontId="10" fillId="0" borderId="0" xfId="0" applyFont="1"/>
    <xf numFmtId="3" fontId="10" fillId="0" borderId="0" xfId="0" applyNumberFormat="1" applyFont="1"/>
    <xf numFmtId="0" fontId="7" fillId="2" borderId="0" xfId="0" applyFont="1" applyFill="1"/>
    <xf numFmtId="0" fontId="11" fillId="3" borderId="0" xfId="0" applyFont="1" applyFill="1"/>
    <xf numFmtId="165" fontId="4" fillId="0" borderId="0" xfId="0" applyNumberFormat="1" applyFont="1"/>
    <xf numFmtId="0" fontId="6" fillId="3" borderId="0" xfId="0" applyFont="1" applyFill="1"/>
    <xf numFmtId="3" fontId="6" fillId="0" borderId="2" xfId="0" applyNumberFormat="1" applyFont="1" applyBorder="1"/>
    <xf numFmtId="0" fontId="12" fillId="3" borderId="0" xfId="0" applyFont="1" applyFill="1"/>
    <xf numFmtId="3" fontId="6" fillId="3" borderId="3" xfId="0" applyNumberFormat="1" applyFont="1" applyFill="1" applyBorder="1"/>
    <xf numFmtId="164" fontId="13" fillId="2" borderId="0" xfId="0" applyNumberFormat="1" applyFont="1" applyFill="1"/>
    <xf numFmtId="4" fontId="6" fillId="3" borderId="0" xfId="0" applyNumberFormat="1" applyFont="1" applyFill="1"/>
    <xf numFmtId="0" fontId="14" fillId="4" borderId="0" xfId="0" applyFont="1" applyFill="1"/>
    <xf numFmtId="0" fontId="15" fillId="0" borderId="0" xfId="0" applyFont="1"/>
    <xf numFmtId="166" fontId="16" fillId="4" borderId="0" xfId="0" applyNumberFormat="1" applyFont="1" applyFill="1"/>
    <xf numFmtId="4" fontId="4" fillId="0" borderId="0" xfId="0" applyNumberFormat="1" applyFont="1"/>
    <xf numFmtId="167" fontId="7" fillId="4" borderId="0" xfId="0" applyNumberFormat="1" applyFont="1" applyFill="1"/>
    <xf numFmtId="4" fontId="6" fillId="0" borderId="0" xfId="0" applyNumberFormat="1" applyFont="1"/>
    <xf numFmtId="3" fontId="7" fillId="0" borderId="0" xfId="0" applyNumberFormat="1" applyFont="1"/>
    <xf numFmtId="3" fontId="7" fillId="4" borderId="0" xfId="0" applyNumberFormat="1" applyFont="1" applyFill="1"/>
    <xf numFmtId="9" fontId="10" fillId="4" borderId="0" xfId="0" applyNumberFormat="1" applyFont="1" applyFill="1"/>
    <xf numFmtId="41" fontId="17" fillId="3" borderId="0" xfId="0" applyNumberFormat="1" applyFont="1" applyFill="1" applyAlignment="1">
      <alignment horizontal="right"/>
    </xf>
    <xf numFmtId="166" fontId="7" fillId="4" borderId="0" xfId="0" applyNumberFormat="1" applyFont="1" applyFill="1"/>
    <xf numFmtId="166" fontId="7" fillId="0" borderId="0" xfId="0" applyNumberFormat="1" applyFont="1"/>
    <xf numFmtId="9" fontId="7" fillId="4" borderId="0" xfId="0" applyNumberFormat="1" applyFont="1" applyFill="1"/>
    <xf numFmtId="0" fontId="7" fillId="5" borderId="0" xfId="0" applyFont="1" applyFill="1"/>
    <xf numFmtId="41" fontId="4" fillId="0" borderId="0" xfId="0" applyNumberFormat="1" applyFont="1" applyAlignment="1">
      <alignment horizontal="left"/>
    </xf>
    <xf numFmtId="41" fontId="6" fillId="0" borderId="0" xfId="0" applyNumberFormat="1" applyFont="1" applyAlignment="1">
      <alignment horizontal="left"/>
    </xf>
    <xf numFmtId="3" fontId="17" fillId="0" borderId="0" xfId="0" applyNumberFormat="1" applyFont="1"/>
    <xf numFmtId="3" fontId="17" fillId="0" borderId="4" xfId="0" applyNumberFormat="1" applyFont="1" applyBorder="1"/>
    <xf numFmtId="3" fontId="11" fillId="0" borderId="4" xfId="0" applyNumberFormat="1" applyFont="1" applyBorder="1"/>
    <xf numFmtId="3" fontId="11" fillId="3" borderId="4" xfId="0" applyNumberFormat="1" applyFont="1" applyFill="1" applyBorder="1"/>
    <xf numFmtId="3" fontId="4" fillId="3" borderId="4" xfId="0" applyNumberFormat="1" applyFont="1" applyFill="1" applyBorder="1"/>
    <xf numFmtId="0" fontId="7" fillId="3" borderId="0" xfId="0" applyFont="1" applyFill="1"/>
    <xf numFmtId="166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S30"/>
  <sheetViews>
    <sheetView showGridLines="0" tabSelected="1" workbookViewId="0">
      <pane ySplit="1" topLeftCell="A2" activePane="bottomLeft" state="frozen"/>
      <selection pane="bottomLeft" activeCell="C16" sqref="C16"/>
    </sheetView>
  </sheetViews>
  <sheetFormatPr defaultColWidth="14.44140625" defaultRowHeight="15.75" customHeight="1" x14ac:dyDescent="0.25"/>
  <cols>
    <col min="1" max="1" width="26" customWidth="1"/>
    <col min="2" max="2" width="4" customWidth="1"/>
    <col min="3" max="4" width="9.6640625" customWidth="1"/>
    <col min="5" max="5" width="7.77734375" customWidth="1"/>
    <col min="6" max="6" width="2.6640625" customWidth="1"/>
    <col min="7" max="9" width="9.6640625" customWidth="1"/>
    <col min="10" max="10" width="2.6640625" customWidth="1"/>
    <col min="11" max="13" width="9.6640625" customWidth="1"/>
    <col min="14" max="14" width="2.6640625" customWidth="1"/>
    <col min="15" max="17" width="9.6640625" customWidth="1"/>
    <col min="18" max="18" width="2.6640625" customWidth="1"/>
    <col min="19" max="19" width="10.109375" customWidth="1"/>
  </cols>
  <sheetData>
    <row r="1" spans="1:19" ht="18.75" customHeight="1" x14ac:dyDescent="0.3">
      <c r="A1" s="1" t="s">
        <v>1</v>
      </c>
      <c r="B1" s="8"/>
      <c r="C1" s="10" t="s">
        <v>2</v>
      </c>
      <c r="D1" s="10" t="s">
        <v>4</v>
      </c>
      <c r="E1" s="10" t="s">
        <v>5</v>
      </c>
      <c r="F1" s="13"/>
      <c r="G1" s="10" t="s">
        <v>6</v>
      </c>
      <c r="H1" s="10" t="s">
        <v>7</v>
      </c>
      <c r="I1" s="10" t="s">
        <v>8</v>
      </c>
      <c r="J1" s="13"/>
      <c r="K1" s="10" t="s">
        <v>9</v>
      </c>
      <c r="L1" s="10" t="s">
        <v>10</v>
      </c>
      <c r="M1" s="10" t="s">
        <v>11</v>
      </c>
      <c r="N1" s="13"/>
      <c r="O1" s="10" t="s">
        <v>12</v>
      </c>
      <c r="P1" s="10" t="s">
        <v>13</v>
      </c>
      <c r="Q1" s="10" t="s">
        <v>14</v>
      </c>
      <c r="R1" s="13"/>
      <c r="S1" s="3" t="s">
        <v>15</v>
      </c>
    </row>
    <row r="2" spans="1:19" ht="12.75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7"/>
    </row>
    <row r="3" spans="1:19" ht="12.75" customHeight="1" x14ac:dyDescent="0.25">
      <c r="A3" s="19" t="s">
        <v>3</v>
      </c>
      <c r="B3" s="16"/>
      <c r="C3" s="21">
        <f t="shared" ref="C3:E3" si="0">SUM(C4:C6)</f>
        <v>24785</v>
      </c>
      <c r="D3" s="21">
        <f t="shared" si="0"/>
        <v>24785</v>
      </c>
      <c r="E3" s="21">
        <f t="shared" si="0"/>
        <v>24785</v>
      </c>
      <c r="F3" s="26"/>
      <c r="G3" s="21">
        <f t="shared" ref="G3:I3" si="1">SUM(G4:G6)</f>
        <v>24785</v>
      </c>
      <c r="H3" s="21">
        <f t="shared" si="1"/>
        <v>24785</v>
      </c>
      <c r="I3" s="21">
        <f t="shared" si="1"/>
        <v>24785</v>
      </c>
      <c r="J3" s="26"/>
      <c r="K3" s="21">
        <f t="shared" ref="K3:M3" si="2">SUM(K4:K6)</f>
        <v>24785</v>
      </c>
      <c r="L3" s="21">
        <f t="shared" si="2"/>
        <v>24785</v>
      </c>
      <c r="M3" s="21">
        <f t="shared" si="2"/>
        <v>24785</v>
      </c>
      <c r="N3" s="28"/>
      <c r="O3" s="21">
        <f t="shared" ref="O3:Q3" si="3">SUM(O4:O6)</f>
        <v>24785</v>
      </c>
      <c r="P3" s="21">
        <f t="shared" si="3"/>
        <v>24785</v>
      </c>
      <c r="Q3" s="21">
        <f t="shared" si="3"/>
        <v>24785</v>
      </c>
      <c r="R3" s="28"/>
      <c r="S3" s="22">
        <f t="shared" ref="S3:S6" si="4">SUM(C3:Q3)</f>
        <v>297420</v>
      </c>
    </row>
    <row r="4" spans="1:19" ht="12.75" customHeight="1" x14ac:dyDescent="0.25">
      <c r="A4" s="30" t="s">
        <v>27</v>
      </c>
      <c r="B4" s="16"/>
      <c r="C4" s="26">
        <f>Revenue!C3</f>
        <v>23250</v>
      </c>
      <c r="D4" s="26">
        <f>Revenue!D3</f>
        <v>23250</v>
      </c>
      <c r="E4" s="26">
        <f>Revenue!E3</f>
        <v>23250</v>
      </c>
      <c r="F4" s="26"/>
      <c r="G4" s="26">
        <f>Revenue!G3</f>
        <v>23250</v>
      </c>
      <c r="H4" s="26">
        <f>Revenue!H3</f>
        <v>23250</v>
      </c>
      <c r="I4" s="26">
        <f>Revenue!I3</f>
        <v>23250</v>
      </c>
      <c r="J4" s="26"/>
      <c r="K4" s="26">
        <f>Revenue!K3</f>
        <v>23250</v>
      </c>
      <c r="L4" s="26">
        <f>Revenue!L3</f>
        <v>23250</v>
      </c>
      <c r="M4" s="26">
        <f>Revenue!M3</f>
        <v>23250</v>
      </c>
      <c r="N4" s="28"/>
      <c r="O4" s="26">
        <f>Revenue!O3</f>
        <v>23250</v>
      </c>
      <c r="P4" s="26">
        <f>Revenue!P3</f>
        <v>23250</v>
      </c>
      <c r="Q4" s="26">
        <f>Revenue!Q3</f>
        <v>23250</v>
      </c>
      <c r="R4" s="28"/>
      <c r="S4" s="17">
        <f t="shared" si="4"/>
        <v>279000</v>
      </c>
    </row>
    <row r="5" spans="1:19" ht="12.75" customHeight="1" x14ac:dyDescent="0.25">
      <c r="A5" s="30" t="s">
        <v>33</v>
      </c>
      <c r="B5" s="16"/>
      <c r="C5" s="26">
        <f>Revenue!C9</f>
        <v>1485</v>
      </c>
      <c r="D5" s="26">
        <f>Revenue!D9</f>
        <v>1485</v>
      </c>
      <c r="E5" s="26">
        <f>Revenue!E9</f>
        <v>1485</v>
      </c>
      <c r="F5" s="26"/>
      <c r="G5" s="26">
        <f>Revenue!G9</f>
        <v>1485</v>
      </c>
      <c r="H5" s="26">
        <f>Revenue!H9</f>
        <v>1485</v>
      </c>
      <c r="I5" s="26">
        <f>Revenue!I9</f>
        <v>1485</v>
      </c>
      <c r="J5" s="26"/>
      <c r="K5" s="26">
        <f>Revenue!K9</f>
        <v>1485</v>
      </c>
      <c r="L5" s="26">
        <f>Revenue!L9</f>
        <v>1485</v>
      </c>
      <c r="M5" s="26">
        <f>Revenue!M9</f>
        <v>1485</v>
      </c>
      <c r="N5" s="28"/>
      <c r="O5" s="26">
        <f>Revenue!O9</f>
        <v>1485</v>
      </c>
      <c r="P5" s="26">
        <f>Revenue!P9</f>
        <v>1485</v>
      </c>
      <c r="Q5" s="26">
        <f>Revenue!Q9</f>
        <v>1485</v>
      </c>
      <c r="R5" s="28"/>
      <c r="S5" s="17">
        <f t="shared" si="4"/>
        <v>17820</v>
      </c>
    </row>
    <row r="6" spans="1:19" ht="12.75" customHeight="1" x14ac:dyDescent="0.25">
      <c r="A6" s="30" t="s">
        <v>35</v>
      </c>
      <c r="B6" s="16"/>
      <c r="C6" s="26">
        <f>Revenue!C13</f>
        <v>50</v>
      </c>
      <c r="D6" s="26">
        <f>Revenue!D13</f>
        <v>50</v>
      </c>
      <c r="E6" s="26">
        <f>Revenue!E13</f>
        <v>50</v>
      </c>
      <c r="F6" s="26"/>
      <c r="G6" s="26">
        <f>Revenue!G13</f>
        <v>50</v>
      </c>
      <c r="H6" s="26">
        <f>Revenue!H13</f>
        <v>50</v>
      </c>
      <c r="I6" s="26">
        <f>Revenue!I13</f>
        <v>50</v>
      </c>
      <c r="J6" s="26"/>
      <c r="K6" s="26">
        <f>Revenue!K13</f>
        <v>50</v>
      </c>
      <c r="L6" s="26">
        <f>Revenue!L13</f>
        <v>50</v>
      </c>
      <c r="M6" s="26">
        <f>Revenue!M13</f>
        <v>50</v>
      </c>
      <c r="N6" s="28"/>
      <c r="O6" s="26">
        <f>Revenue!O13</f>
        <v>50</v>
      </c>
      <c r="P6" s="26">
        <f>Revenue!P13</f>
        <v>50</v>
      </c>
      <c r="Q6" s="26">
        <f>Revenue!Q13</f>
        <v>50</v>
      </c>
      <c r="R6" s="28"/>
      <c r="S6" s="17">
        <f t="shared" si="4"/>
        <v>600</v>
      </c>
    </row>
    <row r="7" spans="1:19" ht="12.75" customHeight="1" x14ac:dyDescent="0.25">
      <c r="A7" s="30"/>
      <c r="B7" s="16"/>
      <c r="C7" s="36"/>
      <c r="D7" s="36"/>
      <c r="E7" s="36"/>
      <c r="F7" s="36"/>
      <c r="G7" s="36"/>
      <c r="H7" s="36"/>
      <c r="I7" s="36"/>
      <c r="J7" s="7"/>
      <c r="K7" s="36"/>
      <c r="L7" s="36"/>
      <c r="M7" s="36"/>
      <c r="N7" s="17"/>
      <c r="O7" s="36"/>
      <c r="P7" s="36"/>
      <c r="Q7" s="36"/>
      <c r="R7" s="17"/>
      <c r="S7" s="17"/>
    </row>
    <row r="8" spans="1:19" ht="12.75" customHeight="1" x14ac:dyDescent="0.25">
      <c r="A8" s="19" t="s">
        <v>0</v>
      </c>
      <c r="B8" s="16"/>
      <c r="C8" s="9">
        <f>COGS!B15</f>
        <v>6050</v>
      </c>
      <c r="D8" s="9">
        <f>COGS!C15</f>
        <v>6050</v>
      </c>
      <c r="E8" s="9">
        <f>COGS!D15</f>
        <v>6050</v>
      </c>
      <c r="F8" s="36"/>
      <c r="G8" s="9">
        <f>COGS!F15</f>
        <v>6050</v>
      </c>
      <c r="H8" s="9">
        <f>COGS!G15</f>
        <v>6050</v>
      </c>
      <c r="I8" s="9">
        <f>COGS!H15</f>
        <v>6050</v>
      </c>
      <c r="J8" s="7"/>
      <c r="K8" s="9">
        <f>COGS!J15</f>
        <v>6050</v>
      </c>
      <c r="L8" s="9">
        <f>COGS!K15</f>
        <v>6050</v>
      </c>
      <c r="M8" s="9">
        <f>COGS!L15</f>
        <v>6050</v>
      </c>
      <c r="N8" s="17"/>
      <c r="O8" s="9">
        <f>COGS!N15</f>
        <v>6050</v>
      </c>
      <c r="P8" s="9">
        <f>COGS!O15</f>
        <v>6050</v>
      </c>
      <c r="Q8" s="9">
        <f>COGS!P15</f>
        <v>6050</v>
      </c>
      <c r="R8" s="17"/>
      <c r="S8" s="22">
        <f>SUM(C8:Q8)</f>
        <v>72600</v>
      </c>
    </row>
    <row r="9" spans="1:19" ht="12.75" customHeight="1" x14ac:dyDescent="0.25">
      <c r="A9" s="19"/>
      <c r="B9" s="16"/>
      <c r="C9" s="9"/>
      <c r="D9" s="9"/>
      <c r="E9" s="9"/>
      <c r="F9" s="36"/>
      <c r="G9" s="9"/>
      <c r="H9" s="9"/>
      <c r="I9" s="9"/>
      <c r="J9" s="7"/>
      <c r="K9" s="9"/>
      <c r="L9" s="9"/>
      <c r="M9" s="9"/>
      <c r="N9" s="17"/>
      <c r="O9" s="9"/>
      <c r="P9" s="9"/>
      <c r="Q9" s="9"/>
      <c r="R9" s="17"/>
      <c r="S9" s="22"/>
    </row>
    <row r="10" spans="1:19" ht="12.75" customHeight="1" x14ac:dyDescent="0.25">
      <c r="A10" s="19" t="s">
        <v>37</v>
      </c>
      <c r="B10" s="16"/>
      <c r="C10" s="9">
        <f t="shared" ref="C10:E10" si="5">SUM(C11:C13)</f>
        <v>1120</v>
      </c>
      <c r="D10" s="9">
        <f t="shared" si="5"/>
        <v>1120</v>
      </c>
      <c r="E10" s="9">
        <f t="shared" si="5"/>
        <v>1120</v>
      </c>
      <c r="F10" s="36"/>
      <c r="G10" s="9">
        <f t="shared" ref="G10:I10" si="6">SUM(G11:G13)</f>
        <v>1120</v>
      </c>
      <c r="H10" s="9">
        <f t="shared" si="6"/>
        <v>1120</v>
      </c>
      <c r="I10" s="9">
        <f t="shared" si="6"/>
        <v>1120</v>
      </c>
      <c r="J10" s="7"/>
      <c r="K10" s="9">
        <f t="shared" ref="K10:M10" si="7">SUM(K11:K13)</f>
        <v>1120</v>
      </c>
      <c r="L10" s="9">
        <f t="shared" si="7"/>
        <v>1120</v>
      </c>
      <c r="M10" s="9">
        <f t="shared" si="7"/>
        <v>1120</v>
      </c>
      <c r="N10" s="17"/>
      <c r="O10" s="9">
        <f t="shared" ref="O10:Q10" si="8">SUM(O11:O13)</f>
        <v>1120</v>
      </c>
      <c r="P10" s="9">
        <f t="shared" si="8"/>
        <v>1120</v>
      </c>
      <c r="Q10" s="9">
        <f t="shared" si="8"/>
        <v>1120</v>
      </c>
      <c r="R10" s="17"/>
      <c r="S10" s="22">
        <f t="shared" ref="S10:S13" si="9">SUM(C10:Q10)</f>
        <v>13440</v>
      </c>
    </row>
    <row r="11" spans="1:19" ht="12.75" customHeight="1" x14ac:dyDescent="0.25">
      <c r="A11" s="30" t="s">
        <v>39</v>
      </c>
      <c r="B11" s="16"/>
      <c r="C11" s="7">
        <f>Marketing!B3</f>
        <v>1000</v>
      </c>
      <c r="D11" s="7">
        <f>Marketing!C3</f>
        <v>1000</v>
      </c>
      <c r="E11" s="7">
        <f>Marketing!D3</f>
        <v>1000</v>
      </c>
      <c r="F11" s="36"/>
      <c r="G11" s="7">
        <f>Marketing!F3</f>
        <v>1000</v>
      </c>
      <c r="H11" s="7">
        <f>Marketing!G3</f>
        <v>1000</v>
      </c>
      <c r="I11" s="7">
        <f>Marketing!H3</f>
        <v>1000</v>
      </c>
      <c r="J11" s="7"/>
      <c r="K11" s="7">
        <f>Marketing!J3</f>
        <v>1000</v>
      </c>
      <c r="L11" s="7">
        <f>Marketing!K3</f>
        <v>1000</v>
      </c>
      <c r="M11" s="7">
        <f>Marketing!L3</f>
        <v>1000</v>
      </c>
      <c r="N11" s="17"/>
      <c r="O11" s="7">
        <f>Marketing!N3</f>
        <v>1000</v>
      </c>
      <c r="P11" s="7">
        <f>Marketing!O3</f>
        <v>1000</v>
      </c>
      <c r="Q11" s="7">
        <f>Marketing!P3</f>
        <v>1000</v>
      </c>
      <c r="R11" s="17"/>
      <c r="S11" s="17">
        <f t="shared" si="9"/>
        <v>12000</v>
      </c>
    </row>
    <row r="12" spans="1:19" ht="12.75" customHeight="1" x14ac:dyDescent="0.25">
      <c r="A12" s="30" t="s">
        <v>50</v>
      </c>
      <c r="B12" s="16"/>
      <c r="C12" s="7">
        <f>Marketing!B7</f>
        <v>110</v>
      </c>
      <c r="D12" s="7">
        <f>Marketing!C7</f>
        <v>110</v>
      </c>
      <c r="E12" s="7">
        <f>Marketing!D7</f>
        <v>110</v>
      </c>
      <c r="F12" s="36"/>
      <c r="G12" s="7">
        <f>Marketing!F7</f>
        <v>110</v>
      </c>
      <c r="H12" s="7">
        <f>Marketing!G7</f>
        <v>110</v>
      </c>
      <c r="I12" s="7">
        <f>Marketing!H7</f>
        <v>110</v>
      </c>
      <c r="J12" s="7"/>
      <c r="K12" s="7">
        <f>Marketing!J7</f>
        <v>110</v>
      </c>
      <c r="L12" s="7">
        <f>Marketing!K7</f>
        <v>110</v>
      </c>
      <c r="M12" s="7">
        <f>Marketing!L7</f>
        <v>110</v>
      </c>
      <c r="N12" s="17"/>
      <c r="O12" s="7">
        <f>Marketing!N7</f>
        <v>110</v>
      </c>
      <c r="P12" s="7">
        <f>Marketing!O7</f>
        <v>110</v>
      </c>
      <c r="Q12" s="7">
        <f>Marketing!P7</f>
        <v>110</v>
      </c>
      <c r="R12" s="17"/>
      <c r="S12" s="17">
        <f t="shared" si="9"/>
        <v>1320</v>
      </c>
    </row>
    <row r="13" spans="1:19" ht="12.75" customHeight="1" x14ac:dyDescent="0.25">
      <c r="A13" s="30" t="s">
        <v>35</v>
      </c>
      <c r="B13" s="16"/>
      <c r="C13" s="7">
        <f>Marketing!B12</f>
        <v>10</v>
      </c>
      <c r="D13" s="7">
        <f>Marketing!C12</f>
        <v>10</v>
      </c>
      <c r="E13" s="7">
        <f>Marketing!D12</f>
        <v>10</v>
      </c>
      <c r="F13" s="36"/>
      <c r="G13" s="7">
        <f>Marketing!F12</f>
        <v>10</v>
      </c>
      <c r="H13" s="7">
        <f>Marketing!G12</f>
        <v>10</v>
      </c>
      <c r="I13" s="7">
        <f>Marketing!H12</f>
        <v>10</v>
      </c>
      <c r="J13" s="7"/>
      <c r="K13" s="7">
        <f>Marketing!J12</f>
        <v>10</v>
      </c>
      <c r="L13" s="7">
        <f>Marketing!K12</f>
        <v>10</v>
      </c>
      <c r="M13" s="7">
        <f>Marketing!L12</f>
        <v>10</v>
      </c>
      <c r="N13" s="17"/>
      <c r="O13" s="7">
        <f>Marketing!N12</f>
        <v>10</v>
      </c>
      <c r="P13" s="7">
        <f>Marketing!O12</f>
        <v>10</v>
      </c>
      <c r="Q13" s="7">
        <f>Marketing!P12</f>
        <v>10</v>
      </c>
      <c r="R13" s="17"/>
      <c r="S13" s="17">
        <f t="shared" si="9"/>
        <v>120</v>
      </c>
    </row>
    <row r="14" spans="1:19" ht="12.75" customHeight="1" x14ac:dyDescent="0.25">
      <c r="A14" s="19"/>
      <c r="B14" s="16"/>
      <c r="C14" s="9"/>
      <c r="D14" s="9"/>
      <c r="E14" s="9"/>
      <c r="F14" s="7"/>
      <c r="G14" s="9"/>
      <c r="H14" s="9"/>
      <c r="I14" s="9"/>
      <c r="J14" s="7"/>
      <c r="K14" s="9"/>
      <c r="L14" s="9"/>
      <c r="M14" s="9"/>
      <c r="N14" s="17"/>
      <c r="O14" s="9"/>
      <c r="P14" s="9"/>
      <c r="Q14" s="9"/>
      <c r="R14" s="17"/>
      <c r="S14" s="22"/>
    </row>
    <row r="15" spans="1:19" ht="12.75" customHeight="1" x14ac:dyDescent="0.25">
      <c r="A15" s="19" t="s">
        <v>60</v>
      </c>
      <c r="B15" s="16"/>
      <c r="C15" s="9">
        <f t="shared" ref="C15:E15" si="10">SUM(C16:C19)</f>
        <v>16050</v>
      </c>
      <c r="D15" s="9">
        <f t="shared" si="10"/>
        <v>16050</v>
      </c>
      <c r="E15" s="9">
        <f t="shared" si="10"/>
        <v>16050</v>
      </c>
      <c r="F15" s="7"/>
      <c r="G15" s="9">
        <f t="shared" ref="G15:I15" si="11">SUM(G16:G19)</f>
        <v>16050</v>
      </c>
      <c r="H15" s="9">
        <f t="shared" si="11"/>
        <v>16050</v>
      </c>
      <c r="I15" s="9">
        <f t="shared" si="11"/>
        <v>16050</v>
      </c>
      <c r="J15" s="7"/>
      <c r="K15" s="9">
        <f t="shared" ref="K15:M15" si="12">SUM(K16:K19)</f>
        <v>16050</v>
      </c>
      <c r="L15" s="9">
        <f t="shared" si="12"/>
        <v>16050</v>
      </c>
      <c r="M15" s="9">
        <f t="shared" si="12"/>
        <v>16050</v>
      </c>
      <c r="N15" s="17"/>
      <c r="O15" s="9">
        <f t="shared" ref="O15:Q15" si="13">SUM(O16:O19)</f>
        <v>16050</v>
      </c>
      <c r="P15" s="9">
        <f t="shared" si="13"/>
        <v>16050</v>
      </c>
      <c r="Q15" s="9">
        <f t="shared" si="13"/>
        <v>16050</v>
      </c>
      <c r="R15" s="17"/>
      <c r="S15" s="22">
        <f t="shared" ref="S15:S19" si="14">SUM(C15:Q15)</f>
        <v>192600</v>
      </c>
    </row>
    <row r="16" spans="1:19" ht="12.75" customHeight="1" x14ac:dyDescent="0.25">
      <c r="A16" s="30" t="s">
        <v>41</v>
      </c>
      <c r="B16" s="16"/>
      <c r="C16" s="7">
        <f>Staffing!B3</f>
        <v>13000</v>
      </c>
      <c r="D16" s="7">
        <f>Staffing!C3</f>
        <v>13000</v>
      </c>
      <c r="E16" s="7">
        <f>Staffing!D3</f>
        <v>13000</v>
      </c>
      <c r="F16" s="7"/>
      <c r="G16" s="7">
        <f>Staffing!F3</f>
        <v>13000</v>
      </c>
      <c r="H16" s="7">
        <f>Staffing!G3</f>
        <v>13000</v>
      </c>
      <c r="I16" s="7">
        <f>Staffing!H3</f>
        <v>13000</v>
      </c>
      <c r="J16" s="7"/>
      <c r="K16" s="7">
        <f>Staffing!J3</f>
        <v>13000</v>
      </c>
      <c r="L16" s="7">
        <f>Staffing!K3</f>
        <v>13000</v>
      </c>
      <c r="M16" s="7">
        <f>Staffing!L3</f>
        <v>13000</v>
      </c>
      <c r="N16" s="17"/>
      <c r="O16" s="7">
        <f>Staffing!N3</f>
        <v>13000</v>
      </c>
      <c r="P16" s="7">
        <f>Staffing!O3</f>
        <v>13000</v>
      </c>
      <c r="Q16" s="7">
        <f>Staffing!P3</f>
        <v>13000</v>
      </c>
      <c r="R16" s="17"/>
      <c r="S16" s="17">
        <f t="shared" si="14"/>
        <v>156000</v>
      </c>
    </row>
    <row r="17" spans="1:19" ht="12.75" customHeight="1" x14ac:dyDescent="0.25">
      <c r="A17" s="30" t="s">
        <v>45</v>
      </c>
      <c r="B17" s="16"/>
      <c r="C17" s="7">
        <f>Staffing!B9</f>
        <v>1000</v>
      </c>
      <c r="D17" s="7">
        <f>Staffing!C9</f>
        <v>1000</v>
      </c>
      <c r="E17" s="7">
        <f>Staffing!D9</f>
        <v>1000</v>
      </c>
      <c r="F17" s="7"/>
      <c r="G17" s="7">
        <f>Staffing!F9</f>
        <v>1000</v>
      </c>
      <c r="H17" s="7">
        <f>Staffing!G9</f>
        <v>1000</v>
      </c>
      <c r="I17" s="7">
        <f>Staffing!H9</f>
        <v>1000</v>
      </c>
      <c r="J17" s="7"/>
      <c r="K17" s="7">
        <f>Staffing!J9</f>
        <v>1000</v>
      </c>
      <c r="L17" s="7">
        <f>Staffing!K9</f>
        <v>1000</v>
      </c>
      <c r="M17" s="7">
        <f>Staffing!L9</f>
        <v>1000</v>
      </c>
      <c r="N17" s="17"/>
      <c r="O17" s="7">
        <f>Staffing!N9</f>
        <v>1000</v>
      </c>
      <c r="P17" s="7">
        <f>Staffing!O9</f>
        <v>1000</v>
      </c>
      <c r="Q17" s="7">
        <f>Staffing!P9</f>
        <v>1000</v>
      </c>
      <c r="R17" s="17"/>
      <c r="S17" s="17">
        <f t="shared" si="14"/>
        <v>12000</v>
      </c>
    </row>
    <row r="18" spans="1:19" ht="12.75" customHeight="1" x14ac:dyDescent="0.25">
      <c r="A18" s="30" t="s">
        <v>48</v>
      </c>
      <c r="B18" s="16"/>
      <c r="C18" s="7">
        <f>Staffing!B14</f>
        <v>1300</v>
      </c>
      <c r="D18" s="7">
        <f>Staffing!C14</f>
        <v>1300</v>
      </c>
      <c r="E18" s="7">
        <f>Staffing!D14</f>
        <v>1300</v>
      </c>
      <c r="F18" s="7"/>
      <c r="G18" s="7">
        <f>Staffing!F14</f>
        <v>1300</v>
      </c>
      <c r="H18" s="7">
        <f>Staffing!G14</f>
        <v>1300</v>
      </c>
      <c r="I18" s="7">
        <f>Staffing!H14</f>
        <v>1300</v>
      </c>
      <c r="J18" s="7"/>
      <c r="K18" s="7">
        <f>Staffing!J14</f>
        <v>1300</v>
      </c>
      <c r="L18" s="7">
        <f>Staffing!K14</f>
        <v>1300</v>
      </c>
      <c r="M18" s="7">
        <f>Staffing!L14</f>
        <v>1300</v>
      </c>
      <c r="N18" s="17"/>
      <c r="O18" s="7">
        <f>Staffing!N14</f>
        <v>1300</v>
      </c>
      <c r="P18" s="7">
        <f>Staffing!O14</f>
        <v>1300</v>
      </c>
      <c r="Q18" s="7">
        <f>Staffing!P14</f>
        <v>1300</v>
      </c>
      <c r="R18" s="17"/>
      <c r="S18" s="17">
        <f t="shared" si="14"/>
        <v>15600</v>
      </c>
    </row>
    <row r="19" spans="1:19" ht="12.75" customHeight="1" x14ac:dyDescent="0.25">
      <c r="A19" s="30" t="s">
        <v>53</v>
      </c>
      <c r="B19" s="16"/>
      <c r="C19" s="7">
        <f>Staffing!B16</f>
        <v>750</v>
      </c>
      <c r="D19" s="7">
        <f>Staffing!C16</f>
        <v>750</v>
      </c>
      <c r="E19" s="7">
        <f>Staffing!D16</f>
        <v>750</v>
      </c>
      <c r="F19" s="7"/>
      <c r="G19" s="7">
        <f>Staffing!F16</f>
        <v>750</v>
      </c>
      <c r="H19" s="7">
        <f>Staffing!G16</f>
        <v>750</v>
      </c>
      <c r="I19" s="7">
        <f>Staffing!H16</f>
        <v>750</v>
      </c>
      <c r="J19" s="7"/>
      <c r="K19" s="7">
        <f>Staffing!J16</f>
        <v>750</v>
      </c>
      <c r="L19" s="7">
        <f>Staffing!K16</f>
        <v>750</v>
      </c>
      <c r="M19" s="7">
        <f>Staffing!L16</f>
        <v>750</v>
      </c>
      <c r="N19" s="17"/>
      <c r="O19" s="7">
        <f>Staffing!N16</f>
        <v>750</v>
      </c>
      <c r="P19" s="7">
        <f>Staffing!O16</f>
        <v>750</v>
      </c>
      <c r="Q19" s="7">
        <f>Staffing!P16</f>
        <v>750</v>
      </c>
      <c r="R19" s="17"/>
      <c r="S19" s="17">
        <f t="shared" si="14"/>
        <v>9000</v>
      </c>
    </row>
    <row r="20" spans="1:19" ht="12.75" customHeight="1" x14ac:dyDescent="0.25">
      <c r="A20" s="52"/>
      <c r="B20" s="1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17"/>
      <c r="O20" s="7"/>
      <c r="P20" s="7"/>
      <c r="Q20" s="7"/>
      <c r="R20" s="17"/>
      <c r="S20" s="17"/>
    </row>
    <row r="21" spans="1:19" ht="12.75" customHeight="1" x14ac:dyDescent="0.25">
      <c r="A21" s="19" t="s">
        <v>84</v>
      </c>
      <c r="B21" s="16"/>
      <c r="C21" s="9">
        <f t="shared" ref="C21:E21" si="15">SUM(C22:C25)</f>
        <v>769</v>
      </c>
      <c r="D21" s="9">
        <f t="shared" si="15"/>
        <v>769</v>
      </c>
      <c r="E21" s="9">
        <f t="shared" si="15"/>
        <v>769</v>
      </c>
      <c r="F21" s="7"/>
      <c r="G21" s="9">
        <f t="shared" ref="G21:I21" si="16">SUM(G22:G25)</f>
        <v>769</v>
      </c>
      <c r="H21" s="9">
        <f t="shared" si="16"/>
        <v>769</v>
      </c>
      <c r="I21" s="9">
        <f t="shared" si="16"/>
        <v>769</v>
      </c>
      <c r="J21" s="7"/>
      <c r="K21" s="9">
        <f t="shared" ref="K21:M21" si="17">SUM(K22:K25)</f>
        <v>769</v>
      </c>
      <c r="L21" s="9">
        <f t="shared" si="17"/>
        <v>769</v>
      </c>
      <c r="M21" s="9">
        <f t="shared" si="17"/>
        <v>769</v>
      </c>
      <c r="N21" s="17"/>
      <c r="O21" s="9">
        <f t="shared" ref="O21:Q21" si="18">SUM(O22:O25)</f>
        <v>769</v>
      </c>
      <c r="P21" s="9">
        <f t="shared" si="18"/>
        <v>769</v>
      </c>
      <c r="Q21" s="9">
        <f t="shared" si="18"/>
        <v>769</v>
      </c>
      <c r="R21" s="17"/>
      <c r="S21" s="22">
        <f t="shared" ref="S21:S23" si="19">SUM(C21:Q21)</f>
        <v>9228</v>
      </c>
    </row>
    <row r="22" spans="1:19" ht="12.75" customHeight="1" x14ac:dyDescent="0.25">
      <c r="A22" s="30" t="s">
        <v>64</v>
      </c>
      <c r="B22" s="16"/>
      <c r="C22" s="7">
        <f>'Misc Expenses'!B3</f>
        <v>650</v>
      </c>
      <c r="D22" s="7">
        <f>'Misc Expenses'!C3</f>
        <v>650</v>
      </c>
      <c r="E22" s="7">
        <f>'Misc Expenses'!D3</f>
        <v>650</v>
      </c>
      <c r="F22" s="7"/>
      <c r="G22" s="7">
        <f>'Misc Expenses'!F3</f>
        <v>650</v>
      </c>
      <c r="H22" s="7">
        <f>'Misc Expenses'!G3</f>
        <v>650</v>
      </c>
      <c r="I22" s="7">
        <f>'Misc Expenses'!H3</f>
        <v>650</v>
      </c>
      <c r="J22" s="7"/>
      <c r="K22" s="7">
        <f>'Misc Expenses'!J3</f>
        <v>650</v>
      </c>
      <c r="L22" s="7">
        <f>'Misc Expenses'!K3</f>
        <v>650</v>
      </c>
      <c r="M22" s="7">
        <f>'Misc Expenses'!L3</f>
        <v>650</v>
      </c>
      <c r="N22" s="7"/>
      <c r="O22" s="7">
        <f>'Misc Expenses'!N3</f>
        <v>650</v>
      </c>
      <c r="P22" s="7">
        <f>'Misc Expenses'!O3</f>
        <v>650</v>
      </c>
      <c r="Q22" s="7">
        <f>'Misc Expenses'!P3</f>
        <v>650</v>
      </c>
      <c r="R22" s="17"/>
      <c r="S22" s="17">
        <f t="shared" si="19"/>
        <v>7800</v>
      </c>
    </row>
    <row r="23" spans="1:19" ht="12.75" customHeight="1" x14ac:dyDescent="0.25">
      <c r="A23" s="30" t="s">
        <v>73</v>
      </c>
      <c r="B23" s="16"/>
      <c r="C23" s="7">
        <f>'Misc Expenses'!B14</f>
        <v>59</v>
      </c>
      <c r="D23" s="7">
        <f>'Misc Expenses'!C14</f>
        <v>59</v>
      </c>
      <c r="E23" s="7">
        <f>'Misc Expenses'!D14</f>
        <v>59</v>
      </c>
      <c r="F23" s="7"/>
      <c r="G23" s="7">
        <f>'Misc Expenses'!F14</f>
        <v>59</v>
      </c>
      <c r="H23" s="7">
        <f>'Misc Expenses'!G14</f>
        <v>59</v>
      </c>
      <c r="I23" s="7">
        <f>'Misc Expenses'!H14</f>
        <v>59</v>
      </c>
      <c r="J23" s="7"/>
      <c r="K23" s="7">
        <f>'Misc Expenses'!J14</f>
        <v>59</v>
      </c>
      <c r="L23" s="7">
        <f>'Misc Expenses'!K14</f>
        <v>59</v>
      </c>
      <c r="M23" s="7">
        <f>'Misc Expenses'!L14</f>
        <v>59</v>
      </c>
      <c r="N23" s="7"/>
      <c r="O23" s="7">
        <f>'Misc Expenses'!N14</f>
        <v>59</v>
      </c>
      <c r="P23" s="7">
        <f>'Misc Expenses'!O14</f>
        <v>59</v>
      </c>
      <c r="Q23" s="7">
        <f>'Misc Expenses'!P14</f>
        <v>59</v>
      </c>
      <c r="R23" s="17"/>
      <c r="S23" s="17">
        <f t="shared" si="19"/>
        <v>708</v>
      </c>
    </row>
    <row r="24" spans="1:19" ht="12.75" customHeight="1" x14ac:dyDescent="0.25">
      <c r="A24" s="30" t="s">
        <v>78</v>
      </c>
      <c r="B24" s="1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17"/>
      <c r="S24" s="17"/>
    </row>
    <row r="25" spans="1:19" ht="12.75" customHeight="1" x14ac:dyDescent="0.25">
      <c r="A25" s="30" t="s">
        <v>93</v>
      </c>
      <c r="B25" s="16"/>
      <c r="C25" s="7">
        <f>'Misc Expenses'!B28</f>
        <v>60</v>
      </c>
      <c r="D25" s="7">
        <f>'Misc Expenses'!C28</f>
        <v>60</v>
      </c>
      <c r="E25" s="7">
        <f>'Misc Expenses'!D28</f>
        <v>60</v>
      </c>
      <c r="F25" s="7"/>
      <c r="G25" s="7">
        <f>'Misc Expenses'!F28</f>
        <v>60</v>
      </c>
      <c r="H25" s="7">
        <f>'Misc Expenses'!G28</f>
        <v>60</v>
      </c>
      <c r="I25" s="7">
        <f>'Misc Expenses'!H28</f>
        <v>60</v>
      </c>
      <c r="J25" s="7"/>
      <c r="K25" s="7">
        <f>'Misc Expenses'!J28</f>
        <v>60</v>
      </c>
      <c r="L25" s="7">
        <f>'Misc Expenses'!K28</f>
        <v>60</v>
      </c>
      <c r="M25" s="7">
        <f>'Misc Expenses'!L28</f>
        <v>60</v>
      </c>
      <c r="N25" s="7"/>
      <c r="O25" s="7">
        <f>'Misc Expenses'!N28</f>
        <v>60</v>
      </c>
      <c r="P25" s="7">
        <f>'Misc Expenses'!O28</f>
        <v>60</v>
      </c>
      <c r="Q25" s="7">
        <f>'Misc Expenses'!P28</f>
        <v>60</v>
      </c>
      <c r="R25" s="17"/>
      <c r="S25" s="17">
        <f>SUM(C25:Q25)</f>
        <v>720</v>
      </c>
    </row>
    <row r="26" spans="1:19" ht="12.75" customHeight="1" x14ac:dyDescent="0.25">
      <c r="A26" s="57"/>
      <c r="B26" s="1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17"/>
      <c r="S26" s="17"/>
    </row>
    <row r="27" spans="1:19" ht="12.75" customHeight="1" x14ac:dyDescent="0.25">
      <c r="A27" s="58" t="s">
        <v>95</v>
      </c>
      <c r="B27" s="15"/>
      <c r="C27" s="59">
        <f t="shared" ref="C27:E27" si="20">C8+C10+C15+C21</f>
        <v>23989</v>
      </c>
      <c r="D27" s="59">
        <f t="shared" si="20"/>
        <v>23989</v>
      </c>
      <c r="E27" s="59">
        <f t="shared" si="20"/>
        <v>23989</v>
      </c>
      <c r="F27" s="59"/>
      <c r="G27" s="59">
        <f t="shared" ref="G27:I27" si="21">G8+G10+G15+G21</f>
        <v>23989</v>
      </c>
      <c r="H27" s="59">
        <f t="shared" si="21"/>
        <v>23989</v>
      </c>
      <c r="I27" s="59">
        <f t="shared" si="21"/>
        <v>23989</v>
      </c>
      <c r="J27" s="59"/>
      <c r="K27" s="59">
        <f t="shared" ref="K27:M27" si="22">K8+K10+K15+K21</f>
        <v>23989</v>
      </c>
      <c r="L27" s="59">
        <f t="shared" si="22"/>
        <v>23989</v>
      </c>
      <c r="M27" s="59">
        <f t="shared" si="22"/>
        <v>23989</v>
      </c>
      <c r="N27" s="59"/>
      <c r="O27" s="59">
        <f t="shared" ref="O27:Q27" si="23">O8+O10+O15+O21</f>
        <v>23989</v>
      </c>
      <c r="P27" s="59">
        <f t="shared" si="23"/>
        <v>23989</v>
      </c>
      <c r="Q27" s="59">
        <f t="shared" si="23"/>
        <v>23989</v>
      </c>
      <c r="R27" s="17"/>
      <c r="S27" s="22">
        <f>SUM(C27:Q27)</f>
        <v>287868</v>
      </c>
    </row>
    <row r="28" spans="1:19" ht="12.75" customHeight="1" x14ac:dyDescent="0.25">
      <c r="A28" s="14"/>
      <c r="B28" s="1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17"/>
      <c r="O28" s="7"/>
      <c r="P28" s="7"/>
      <c r="Q28" s="7"/>
      <c r="R28" s="17"/>
      <c r="S28" s="17"/>
    </row>
    <row r="29" spans="1:19" ht="13.5" customHeight="1" x14ac:dyDescent="0.25">
      <c r="A29" s="58" t="s">
        <v>98</v>
      </c>
      <c r="B29" s="15"/>
      <c r="C29" s="60">
        <f t="shared" ref="C29:E29" si="24">C3-C27</f>
        <v>796</v>
      </c>
      <c r="D29" s="60">
        <f t="shared" si="24"/>
        <v>796</v>
      </c>
      <c r="E29" s="60">
        <f t="shared" si="24"/>
        <v>796</v>
      </c>
      <c r="F29" s="61"/>
      <c r="G29" s="60">
        <f t="shared" ref="G29:I29" si="25">G3-G27</f>
        <v>796</v>
      </c>
      <c r="H29" s="60">
        <f t="shared" si="25"/>
        <v>796</v>
      </c>
      <c r="I29" s="60">
        <f t="shared" si="25"/>
        <v>796</v>
      </c>
      <c r="J29" s="61"/>
      <c r="K29" s="60">
        <f t="shared" ref="K29:M29" si="26">K3-K27</f>
        <v>796</v>
      </c>
      <c r="L29" s="60">
        <f t="shared" si="26"/>
        <v>796</v>
      </c>
      <c r="M29" s="60">
        <f t="shared" si="26"/>
        <v>796</v>
      </c>
      <c r="N29" s="62"/>
      <c r="O29" s="60">
        <f t="shared" ref="O29:Q29" si="27">O3-O27</f>
        <v>796</v>
      </c>
      <c r="P29" s="60">
        <f t="shared" si="27"/>
        <v>796</v>
      </c>
      <c r="Q29" s="60">
        <f t="shared" si="27"/>
        <v>796</v>
      </c>
      <c r="R29" s="63"/>
      <c r="S29" s="22">
        <f>SUM(C29:Q29)</f>
        <v>9552</v>
      </c>
    </row>
    <row r="30" spans="1:19" ht="13.5" customHeight="1" x14ac:dyDescent="0.25">
      <c r="A30" s="14"/>
      <c r="B30" s="15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17"/>
      <c r="S30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S15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 x14ac:dyDescent="0.25"/>
  <cols>
    <col min="1" max="1" width="26.109375" customWidth="1"/>
    <col min="2" max="2" width="5" customWidth="1"/>
    <col min="3" max="5" width="9.6640625" customWidth="1"/>
    <col min="6" max="6" width="2.6640625" customWidth="1"/>
    <col min="7" max="9" width="9.6640625" customWidth="1"/>
    <col min="10" max="10" width="2.6640625" customWidth="1"/>
    <col min="11" max="13" width="9.6640625" customWidth="1"/>
    <col min="14" max="14" width="2.6640625" customWidth="1"/>
    <col min="15" max="15" width="7.44140625" customWidth="1"/>
    <col min="16" max="17" width="9.6640625" customWidth="1"/>
    <col min="18" max="18" width="2.6640625" customWidth="1"/>
    <col min="19" max="19" width="7.6640625" customWidth="1"/>
  </cols>
  <sheetData>
    <row r="1" spans="1:19" ht="18.75" customHeight="1" x14ac:dyDescent="0.3">
      <c r="A1" s="1" t="s">
        <v>3</v>
      </c>
      <c r="B1" s="3"/>
      <c r="C1" s="2" t="s">
        <v>2</v>
      </c>
      <c r="D1" s="2" t="s">
        <v>4</v>
      </c>
      <c r="E1" s="2" t="s">
        <v>5</v>
      </c>
      <c r="F1" s="3"/>
      <c r="G1" s="2" t="s">
        <v>6</v>
      </c>
      <c r="H1" s="4" t="s">
        <v>7</v>
      </c>
      <c r="I1" s="4" t="s">
        <v>8</v>
      </c>
      <c r="J1" s="5"/>
      <c r="K1" s="4" t="s">
        <v>9</v>
      </c>
      <c r="L1" s="4" t="s">
        <v>10</v>
      </c>
      <c r="M1" s="4" t="s">
        <v>11</v>
      </c>
      <c r="N1" s="5"/>
      <c r="O1" s="4" t="s">
        <v>12</v>
      </c>
      <c r="P1" s="4" t="s">
        <v>13</v>
      </c>
      <c r="Q1" s="4" t="s">
        <v>14</v>
      </c>
      <c r="R1" s="5"/>
      <c r="S1" s="5" t="s">
        <v>15</v>
      </c>
    </row>
    <row r="2" spans="1:19" ht="18" customHeight="1" x14ac:dyDescent="0.3">
      <c r="A2" s="6"/>
      <c r="B2" s="7"/>
      <c r="C2" s="7"/>
      <c r="D2" s="9"/>
      <c r="E2" s="9"/>
      <c r="F2" s="9"/>
      <c r="G2" s="9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12.75" customHeight="1" x14ac:dyDescent="0.25">
      <c r="A3" s="12" t="s">
        <v>17</v>
      </c>
      <c r="B3" s="9"/>
      <c r="C3" s="9">
        <f t="shared" ref="C3:E3" si="0">C4-C5-C6-C7</f>
        <v>23250</v>
      </c>
      <c r="D3" s="9">
        <f t="shared" si="0"/>
        <v>23250</v>
      </c>
      <c r="E3" s="9">
        <f t="shared" si="0"/>
        <v>23250</v>
      </c>
      <c r="F3" s="9"/>
      <c r="G3" s="9">
        <f t="shared" ref="G3:I3" si="1">G4-G5-G6-G7</f>
        <v>23250</v>
      </c>
      <c r="H3" s="9">
        <f t="shared" si="1"/>
        <v>23250</v>
      </c>
      <c r="I3" s="9">
        <f t="shared" si="1"/>
        <v>23250</v>
      </c>
      <c r="J3" s="9"/>
      <c r="K3" s="9">
        <f t="shared" ref="K3:M3" si="2">K4-K5-K6-K7</f>
        <v>23250</v>
      </c>
      <c r="L3" s="9">
        <f t="shared" si="2"/>
        <v>23250</v>
      </c>
      <c r="M3" s="9">
        <f t="shared" si="2"/>
        <v>23250</v>
      </c>
      <c r="N3" s="9"/>
      <c r="O3" s="9">
        <f t="shared" ref="O3:Q3" si="3">O4-O5-O6-O7</f>
        <v>23250</v>
      </c>
      <c r="P3" s="9">
        <f t="shared" si="3"/>
        <v>23250</v>
      </c>
      <c r="Q3" s="9">
        <f t="shared" si="3"/>
        <v>23250</v>
      </c>
      <c r="R3" s="15"/>
      <c r="S3" s="9">
        <f>SUM(C3:R3)</f>
        <v>279000</v>
      </c>
    </row>
    <row r="4" spans="1:19" ht="12.75" customHeight="1" x14ac:dyDescent="0.25">
      <c r="A4" s="18" t="s">
        <v>19</v>
      </c>
      <c r="B4" s="20"/>
      <c r="C4" s="20">
        <v>25000</v>
      </c>
      <c r="D4" s="20">
        <v>25000</v>
      </c>
      <c r="E4" s="20">
        <v>25000</v>
      </c>
      <c r="F4" s="7"/>
      <c r="G4" s="20">
        <v>25000</v>
      </c>
      <c r="H4" s="20">
        <v>25000</v>
      </c>
      <c r="I4" s="20">
        <v>25000</v>
      </c>
      <c r="J4" s="7"/>
      <c r="K4" s="20">
        <v>25000</v>
      </c>
      <c r="L4" s="20">
        <v>25000</v>
      </c>
      <c r="M4" s="20">
        <v>25000</v>
      </c>
      <c r="N4" s="7"/>
      <c r="O4" s="20">
        <v>25000</v>
      </c>
      <c r="P4" s="20">
        <v>25000</v>
      </c>
      <c r="Q4" s="20">
        <v>25000</v>
      </c>
      <c r="R4" s="7"/>
      <c r="S4" s="9"/>
    </row>
    <row r="5" spans="1:19" ht="12.75" customHeight="1" x14ac:dyDescent="0.25">
      <c r="A5" s="16" t="s">
        <v>21</v>
      </c>
      <c r="B5" s="24">
        <v>0.03</v>
      </c>
      <c r="C5" s="20">
        <f t="shared" ref="C5:E5" si="4">C4*$B$5</f>
        <v>750</v>
      </c>
      <c r="D5" s="20">
        <f t="shared" si="4"/>
        <v>750</v>
      </c>
      <c r="E5" s="20">
        <f t="shared" si="4"/>
        <v>750</v>
      </c>
      <c r="F5" s="7"/>
      <c r="G5" s="20">
        <f t="shared" ref="G5:I5" si="5">G4*$B$5</f>
        <v>750</v>
      </c>
      <c r="H5" s="20">
        <f t="shared" si="5"/>
        <v>750</v>
      </c>
      <c r="I5" s="20">
        <f t="shared" si="5"/>
        <v>750</v>
      </c>
      <c r="J5" s="7"/>
      <c r="K5" s="20">
        <f t="shared" ref="K5:M5" si="6">K4*$B$5</f>
        <v>750</v>
      </c>
      <c r="L5" s="20">
        <f t="shared" si="6"/>
        <v>750</v>
      </c>
      <c r="M5" s="20">
        <f t="shared" si="6"/>
        <v>750</v>
      </c>
      <c r="N5" s="17"/>
      <c r="O5" s="20">
        <f t="shared" ref="O5:Q5" si="7">O4*$B$5</f>
        <v>750</v>
      </c>
      <c r="P5" s="20">
        <f t="shared" si="7"/>
        <v>750</v>
      </c>
      <c r="Q5" s="20">
        <f t="shared" si="7"/>
        <v>750</v>
      </c>
      <c r="R5" s="17"/>
      <c r="S5" s="22"/>
    </row>
    <row r="6" spans="1:19" ht="12.75" customHeight="1" x14ac:dyDescent="0.25">
      <c r="A6" s="16" t="s">
        <v>23</v>
      </c>
      <c r="B6" s="24">
        <v>0.01</v>
      </c>
      <c r="C6" s="20">
        <f t="shared" ref="C6:E6" si="8">C4*$B$6</f>
        <v>250</v>
      </c>
      <c r="D6" s="20">
        <f t="shared" si="8"/>
        <v>250</v>
      </c>
      <c r="E6" s="20">
        <f t="shared" si="8"/>
        <v>250</v>
      </c>
      <c r="F6" s="7"/>
      <c r="G6" s="20">
        <f t="shared" ref="G6:I6" si="9">G4*$B$6</f>
        <v>250</v>
      </c>
      <c r="H6" s="20">
        <f t="shared" si="9"/>
        <v>250</v>
      </c>
      <c r="I6" s="20">
        <f t="shared" si="9"/>
        <v>250</v>
      </c>
      <c r="J6" s="7"/>
      <c r="K6" s="20">
        <f t="shared" ref="K6:M6" si="10">K4*$B$6</f>
        <v>250</v>
      </c>
      <c r="L6" s="20">
        <f t="shared" si="10"/>
        <v>250</v>
      </c>
      <c r="M6" s="20">
        <f t="shared" si="10"/>
        <v>250</v>
      </c>
      <c r="N6" s="17"/>
      <c r="O6" s="20">
        <f t="shared" ref="O6:Q6" si="11">O4*$B$6</f>
        <v>250</v>
      </c>
      <c r="P6" s="20">
        <f t="shared" si="11"/>
        <v>250</v>
      </c>
      <c r="Q6" s="20">
        <f t="shared" si="11"/>
        <v>250</v>
      </c>
      <c r="R6" s="17"/>
      <c r="S6" s="22"/>
    </row>
    <row r="7" spans="1:19" ht="15" customHeight="1" x14ac:dyDescent="0.25">
      <c r="A7" s="18" t="s">
        <v>30</v>
      </c>
      <c r="B7" s="31">
        <v>0.03</v>
      </c>
      <c r="C7" s="23">
        <f t="shared" ref="C7:E7" si="12">$B$7*C4</f>
        <v>750</v>
      </c>
      <c r="D7" s="23">
        <f t="shared" si="12"/>
        <v>750</v>
      </c>
      <c r="E7" s="23">
        <f t="shared" si="12"/>
        <v>750</v>
      </c>
      <c r="F7" s="23"/>
      <c r="G7" s="23">
        <f t="shared" ref="G7:I7" si="13">$B$7*G4</f>
        <v>750</v>
      </c>
      <c r="H7" s="23">
        <f t="shared" si="13"/>
        <v>750</v>
      </c>
      <c r="I7" s="23">
        <f t="shared" si="13"/>
        <v>750</v>
      </c>
      <c r="J7" s="23"/>
      <c r="K7" s="23">
        <f t="shared" ref="K7:M7" si="14">$B$7*K4</f>
        <v>750</v>
      </c>
      <c r="L7" s="23">
        <f t="shared" si="14"/>
        <v>750</v>
      </c>
      <c r="M7" s="23">
        <f t="shared" si="14"/>
        <v>750</v>
      </c>
      <c r="N7" s="23"/>
      <c r="O7" s="23">
        <f t="shared" ref="O7:Q7" si="15">$B$7*O4</f>
        <v>750</v>
      </c>
      <c r="P7" s="23">
        <f t="shared" si="15"/>
        <v>750</v>
      </c>
      <c r="Q7" s="23">
        <f t="shared" si="15"/>
        <v>750</v>
      </c>
      <c r="R7" s="7"/>
      <c r="S7" s="9"/>
    </row>
    <row r="8" spans="1:19" ht="12.75" customHeight="1" x14ac:dyDescent="0.25">
      <c r="A8" s="18"/>
      <c r="B8" s="23"/>
      <c r="C8" s="23"/>
      <c r="D8" s="23"/>
      <c r="E8" s="23"/>
      <c r="F8" s="7"/>
      <c r="G8" s="23"/>
      <c r="H8" s="23"/>
      <c r="I8" s="23"/>
      <c r="J8" s="7"/>
      <c r="K8" s="23"/>
      <c r="L8" s="23"/>
      <c r="M8" s="23"/>
      <c r="N8" s="17"/>
      <c r="O8" s="23"/>
      <c r="P8" s="23"/>
      <c r="Q8" s="23"/>
      <c r="R8" s="7"/>
      <c r="S8" s="9"/>
    </row>
    <row r="9" spans="1:19" ht="12.75" customHeight="1" x14ac:dyDescent="0.25">
      <c r="A9" s="25" t="s">
        <v>32</v>
      </c>
      <c r="B9" s="27"/>
      <c r="C9" s="27">
        <f t="shared" ref="C9:E9" si="16">C10-C11</f>
        <v>1485</v>
      </c>
      <c r="D9" s="27">
        <f t="shared" si="16"/>
        <v>1485</v>
      </c>
      <c r="E9" s="27">
        <f t="shared" si="16"/>
        <v>1485</v>
      </c>
      <c r="F9" s="7"/>
      <c r="G9" s="27">
        <f t="shared" ref="G9:I9" si="17">G10-G11</f>
        <v>1485</v>
      </c>
      <c r="H9" s="27">
        <f t="shared" si="17"/>
        <v>1485</v>
      </c>
      <c r="I9" s="27">
        <f t="shared" si="17"/>
        <v>1485</v>
      </c>
      <c r="J9" s="7"/>
      <c r="K9" s="27">
        <f t="shared" ref="K9:M9" si="18">K10-K11</f>
        <v>1485</v>
      </c>
      <c r="L9" s="27">
        <f t="shared" si="18"/>
        <v>1485</v>
      </c>
      <c r="M9" s="27">
        <f t="shared" si="18"/>
        <v>1485</v>
      </c>
      <c r="N9" s="17"/>
      <c r="O9" s="27">
        <f t="shared" ref="O9:Q9" si="19">O10-O11</f>
        <v>1485</v>
      </c>
      <c r="P9" s="27">
        <f t="shared" si="19"/>
        <v>1485</v>
      </c>
      <c r="Q9" s="27">
        <f t="shared" si="19"/>
        <v>1485</v>
      </c>
      <c r="R9" s="7"/>
      <c r="S9" s="9">
        <f>SUM(C9:R9)</f>
        <v>17820</v>
      </c>
    </row>
    <row r="10" spans="1:19" ht="12.75" customHeight="1" x14ac:dyDescent="0.25">
      <c r="A10" s="18" t="s">
        <v>34</v>
      </c>
      <c r="B10" s="23"/>
      <c r="C10" s="23">
        <v>1500</v>
      </c>
      <c r="D10" s="23">
        <v>1500</v>
      </c>
      <c r="E10" s="23">
        <v>1500</v>
      </c>
      <c r="F10" s="7"/>
      <c r="G10" s="23">
        <v>1500</v>
      </c>
      <c r="H10" s="23">
        <v>1500</v>
      </c>
      <c r="I10" s="23">
        <v>1500</v>
      </c>
      <c r="J10" s="7"/>
      <c r="K10" s="23">
        <v>1500</v>
      </c>
      <c r="L10" s="23">
        <v>1500</v>
      </c>
      <c r="M10" s="23">
        <v>1500</v>
      </c>
      <c r="N10" s="17"/>
      <c r="O10" s="23">
        <v>1500</v>
      </c>
      <c r="P10" s="23">
        <v>1500</v>
      </c>
      <c r="Q10" s="23">
        <v>1500</v>
      </c>
      <c r="R10" s="7"/>
      <c r="S10" s="9"/>
    </row>
    <row r="11" spans="1:19" ht="12.75" customHeight="1" x14ac:dyDescent="0.25">
      <c r="A11" s="15" t="s">
        <v>21</v>
      </c>
      <c r="B11" s="24">
        <v>0.01</v>
      </c>
      <c r="C11" s="7">
        <f t="shared" ref="C11:E11" si="20">C10*$B$11</f>
        <v>15</v>
      </c>
      <c r="D11" s="7">
        <f t="shared" si="20"/>
        <v>15</v>
      </c>
      <c r="E11" s="7">
        <f t="shared" si="20"/>
        <v>15</v>
      </c>
      <c r="F11" s="9"/>
      <c r="G11" s="7">
        <f t="shared" ref="G11:I11" si="21">G10*$B$11</f>
        <v>15</v>
      </c>
      <c r="H11" s="7">
        <f t="shared" si="21"/>
        <v>15</v>
      </c>
      <c r="I11" s="7">
        <f t="shared" si="21"/>
        <v>15</v>
      </c>
      <c r="J11" s="7"/>
      <c r="K11" s="7">
        <f t="shared" ref="K11:M11" si="22">K10*$B$11</f>
        <v>15</v>
      </c>
      <c r="L11" s="7">
        <f t="shared" si="22"/>
        <v>15</v>
      </c>
      <c r="M11" s="7">
        <f t="shared" si="22"/>
        <v>15</v>
      </c>
      <c r="N11" s="17"/>
      <c r="O11" s="7">
        <f t="shared" ref="O11:Q11" si="23">O10*$B$11</f>
        <v>15</v>
      </c>
      <c r="P11" s="7">
        <f t="shared" si="23"/>
        <v>15</v>
      </c>
      <c r="Q11" s="7">
        <f t="shared" si="23"/>
        <v>15</v>
      </c>
      <c r="R11" s="7"/>
      <c r="S11" s="9"/>
    </row>
    <row r="12" spans="1:19" ht="12.75" customHeight="1" x14ac:dyDescent="0.25">
      <c r="A12" s="12"/>
      <c r="B12" s="9"/>
      <c r="C12" s="9"/>
      <c r="D12" s="9"/>
      <c r="E12" s="9"/>
      <c r="F12" s="9"/>
      <c r="G12" s="9"/>
      <c r="H12" s="9"/>
      <c r="I12" s="9"/>
      <c r="J12" s="7"/>
      <c r="K12" s="9"/>
      <c r="L12" s="9"/>
      <c r="M12" s="9"/>
      <c r="N12" s="17"/>
      <c r="O12" s="9"/>
      <c r="P12" s="9"/>
      <c r="Q12" s="9"/>
      <c r="R12" s="7"/>
      <c r="S12" s="9"/>
    </row>
    <row r="13" spans="1:19" ht="12.75" customHeight="1" x14ac:dyDescent="0.25">
      <c r="A13" s="25" t="s">
        <v>36</v>
      </c>
      <c r="B13" s="27"/>
      <c r="C13" s="27">
        <f t="shared" ref="C13:E13" si="24">SUM(C14)</f>
        <v>50</v>
      </c>
      <c r="D13" s="27">
        <f t="shared" si="24"/>
        <v>50</v>
      </c>
      <c r="E13" s="27">
        <f t="shared" si="24"/>
        <v>50</v>
      </c>
      <c r="F13" s="7"/>
      <c r="G13" s="27">
        <f t="shared" ref="G13:I13" si="25">SUM(G14)</f>
        <v>50</v>
      </c>
      <c r="H13" s="27">
        <f t="shared" si="25"/>
        <v>50</v>
      </c>
      <c r="I13" s="27">
        <f t="shared" si="25"/>
        <v>50</v>
      </c>
      <c r="J13" s="7"/>
      <c r="K13" s="27">
        <f t="shared" ref="K13:M13" si="26">SUM(K14)</f>
        <v>50</v>
      </c>
      <c r="L13" s="27">
        <f t="shared" si="26"/>
        <v>50</v>
      </c>
      <c r="M13" s="27">
        <f t="shared" si="26"/>
        <v>50</v>
      </c>
      <c r="N13" s="17"/>
      <c r="O13" s="27">
        <f t="shared" ref="O13:Q13" si="27">SUM(O14)</f>
        <v>50</v>
      </c>
      <c r="P13" s="27">
        <f t="shared" si="27"/>
        <v>50</v>
      </c>
      <c r="Q13" s="27">
        <f t="shared" si="27"/>
        <v>50</v>
      </c>
      <c r="R13" s="7"/>
      <c r="S13" s="9">
        <f>SUM(C13:R13)</f>
        <v>600</v>
      </c>
    </row>
    <row r="14" spans="1:19" ht="12.75" customHeight="1" x14ac:dyDescent="0.25">
      <c r="A14" s="18" t="s">
        <v>38</v>
      </c>
      <c r="B14" s="23"/>
      <c r="C14" s="23">
        <v>50</v>
      </c>
      <c r="D14" s="23">
        <v>50</v>
      </c>
      <c r="E14" s="23">
        <v>50</v>
      </c>
      <c r="F14" s="7"/>
      <c r="G14" s="23">
        <v>50</v>
      </c>
      <c r="H14" s="23">
        <v>50</v>
      </c>
      <c r="I14" s="23">
        <v>50</v>
      </c>
      <c r="J14" s="7"/>
      <c r="K14" s="23">
        <v>50</v>
      </c>
      <c r="L14" s="23">
        <v>50</v>
      </c>
      <c r="M14" s="23">
        <v>50</v>
      </c>
      <c r="N14" s="17"/>
      <c r="O14" s="23">
        <v>50</v>
      </c>
      <c r="P14" s="23">
        <v>50</v>
      </c>
      <c r="Q14" s="23">
        <v>50</v>
      </c>
      <c r="R14" s="7"/>
      <c r="S14" s="9"/>
    </row>
    <row r="15" spans="1:19" ht="12.75" customHeight="1" x14ac:dyDescent="0.25">
      <c r="A15" s="1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17"/>
      <c r="O15" s="17"/>
      <c r="P15" s="17"/>
      <c r="Q15" s="17"/>
      <c r="R15" s="17"/>
      <c r="S15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R15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 x14ac:dyDescent="0.25"/>
  <cols>
    <col min="1" max="1" width="31.44140625" customWidth="1"/>
    <col min="2" max="4" width="9.6640625" customWidth="1"/>
    <col min="5" max="5" width="2.6640625" customWidth="1"/>
    <col min="6" max="8" width="9.6640625" customWidth="1"/>
    <col min="9" max="9" width="2.6640625" customWidth="1"/>
    <col min="10" max="12" width="9.6640625" customWidth="1"/>
    <col min="13" max="13" width="2.6640625" customWidth="1"/>
    <col min="14" max="14" width="7.44140625" customWidth="1"/>
    <col min="15" max="16" width="9.6640625" customWidth="1"/>
    <col min="17" max="17" width="2.6640625" customWidth="1"/>
    <col min="18" max="18" width="7.6640625" customWidth="1"/>
  </cols>
  <sheetData>
    <row r="1" spans="1:18" ht="18.75" customHeight="1" x14ac:dyDescent="0.3">
      <c r="A1" s="1" t="s">
        <v>0</v>
      </c>
      <c r="B1" s="2" t="s">
        <v>2</v>
      </c>
      <c r="C1" s="2" t="s">
        <v>4</v>
      </c>
      <c r="D1" s="2" t="s">
        <v>5</v>
      </c>
      <c r="E1" s="3"/>
      <c r="F1" s="2" t="s">
        <v>6</v>
      </c>
      <c r="G1" s="4" t="s">
        <v>7</v>
      </c>
      <c r="H1" s="4" t="s">
        <v>8</v>
      </c>
      <c r="I1" s="5"/>
      <c r="J1" s="4" t="s">
        <v>9</v>
      </c>
      <c r="K1" s="4" t="s">
        <v>10</v>
      </c>
      <c r="L1" s="4" t="s">
        <v>11</v>
      </c>
      <c r="M1" s="5"/>
      <c r="N1" s="4" t="s">
        <v>12</v>
      </c>
      <c r="O1" s="4" t="s">
        <v>13</v>
      </c>
      <c r="P1" s="4" t="s">
        <v>14</v>
      </c>
      <c r="Q1" s="5"/>
      <c r="R1" s="5" t="s">
        <v>15</v>
      </c>
    </row>
    <row r="2" spans="1:18" ht="18" customHeight="1" x14ac:dyDescent="0.3">
      <c r="A2" s="6"/>
      <c r="B2" s="7"/>
      <c r="C2" s="9"/>
      <c r="D2" s="9"/>
      <c r="E2" s="9"/>
      <c r="F2" s="9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12.75" customHeight="1" x14ac:dyDescent="0.25">
      <c r="A3" s="12" t="s">
        <v>16</v>
      </c>
      <c r="B3" s="9">
        <f t="shared" ref="B3:D3" si="0">B4*B5</f>
        <v>2000</v>
      </c>
      <c r="C3" s="9">
        <f t="shared" si="0"/>
        <v>2000</v>
      </c>
      <c r="D3" s="9">
        <f t="shared" si="0"/>
        <v>2000</v>
      </c>
      <c r="E3" s="9"/>
      <c r="F3" s="9">
        <f t="shared" ref="F3:H3" si="1">F4*F5</f>
        <v>2000</v>
      </c>
      <c r="G3" s="9">
        <f t="shared" si="1"/>
        <v>2000</v>
      </c>
      <c r="H3" s="9">
        <f t="shared" si="1"/>
        <v>2000</v>
      </c>
      <c r="I3" s="9"/>
      <c r="J3" s="9">
        <f t="shared" ref="J3:L3" si="2">J4*J5</f>
        <v>2000</v>
      </c>
      <c r="K3" s="9">
        <f t="shared" si="2"/>
        <v>2000</v>
      </c>
      <c r="L3" s="9">
        <f t="shared" si="2"/>
        <v>2000</v>
      </c>
      <c r="M3" s="9"/>
      <c r="N3" s="9">
        <f t="shared" ref="N3:P3" si="3">N4*N5</f>
        <v>2000</v>
      </c>
      <c r="O3" s="9">
        <f t="shared" si="3"/>
        <v>2000</v>
      </c>
      <c r="P3" s="9">
        <f t="shared" si="3"/>
        <v>2000</v>
      </c>
      <c r="Q3" s="15"/>
      <c r="R3" s="9">
        <f>SUM(B3:Q3)</f>
        <v>24000</v>
      </c>
    </row>
    <row r="4" spans="1:18" ht="12.75" customHeight="1" x14ac:dyDescent="0.25">
      <c r="A4" s="18" t="s">
        <v>18</v>
      </c>
      <c r="B4" s="20">
        <v>1</v>
      </c>
      <c r="C4" s="20">
        <v>1</v>
      </c>
      <c r="D4" s="20">
        <v>1</v>
      </c>
      <c r="E4" s="20"/>
      <c r="F4" s="20">
        <v>1</v>
      </c>
      <c r="G4" s="20">
        <v>1</v>
      </c>
      <c r="H4" s="20">
        <v>1</v>
      </c>
      <c r="I4" s="20"/>
      <c r="J4" s="20">
        <v>1</v>
      </c>
      <c r="K4" s="20">
        <v>1</v>
      </c>
      <c r="L4" s="20">
        <v>1</v>
      </c>
      <c r="M4" s="20"/>
      <c r="N4" s="20">
        <v>1</v>
      </c>
      <c r="O4" s="20">
        <v>1</v>
      </c>
      <c r="P4" s="20">
        <v>1</v>
      </c>
      <c r="Q4" s="7"/>
      <c r="R4" s="9"/>
    </row>
    <row r="5" spans="1:18" ht="12.75" customHeight="1" x14ac:dyDescent="0.25">
      <c r="A5" s="16" t="s">
        <v>20</v>
      </c>
      <c r="B5" s="20">
        <v>2000</v>
      </c>
      <c r="C5" s="20">
        <v>2000</v>
      </c>
      <c r="D5" s="20">
        <v>2000</v>
      </c>
      <c r="E5" s="20"/>
      <c r="F5" s="20">
        <v>2000</v>
      </c>
      <c r="G5" s="20">
        <v>2000</v>
      </c>
      <c r="H5" s="20">
        <v>2000</v>
      </c>
      <c r="I5" s="20"/>
      <c r="J5" s="20">
        <v>2000</v>
      </c>
      <c r="K5" s="20">
        <v>2000</v>
      </c>
      <c r="L5" s="20">
        <v>2000</v>
      </c>
      <c r="M5" s="20"/>
      <c r="N5" s="20">
        <v>2000</v>
      </c>
      <c r="O5" s="20">
        <v>2000</v>
      </c>
      <c r="P5" s="20">
        <v>2000</v>
      </c>
      <c r="Q5" s="17"/>
      <c r="R5" s="22"/>
    </row>
    <row r="6" spans="1:18" ht="12.75" customHeight="1" x14ac:dyDescent="0.25">
      <c r="A6" s="18"/>
      <c r="B6" s="23"/>
      <c r="C6" s="23"/>
      <c r="D6" s="23"/>
      <c r="E6" s="7"/>
      <c r="F6" s="23"/>
      <c r="G6" s="23"/>
      <c r="H6" s="23"/>
      <c r="I6" s="7"/>
      <c r="J6" s="23"/>
      <c r="K6" s="23"/>
      <c r="L6" s="23"/>
      <c r="M6" s="17"/>
      <c r="N6" s="23"/>
      <c r="O6" s="23"/>
      <c r="P6" s="23"/>
      <c r="Q6" s="7"/>
      <c r="R6" s="9"/>
    </row>
    <row r="7" spans="1:18" ht="12.75" customHeight="1" x14ac:dyDescent="0.25">
      <c r="A7" s="25" t="s">
        <v>22</v>
      </c>
      <c r="B7" s="27">
        <f t="shared" ref="B7:D7" si="4">SUM(B8:B12)</f>
        <v>4050</v>
      </c>
      <c r="C7" s="27">
        <f t="shared" si="4"/>
        <v>4050</v>
      </c>
      <c r="D7" s="27">
        <f t="shared" si="4"/>
        <v>4050</v>
      </c>
      <c r="E7" s="27"/>
      <c r="F7" s="27">
        <f t="shared" ref="F7:H7" si="5">SUM(F8:F12)</f>
        <v>4050</v>
      </c>
      <c r="G7" s="27">
        <f t="shared" si="5"/>
        <v>4050</v>
      </c>
      <c r="H7" s="27">
        <f t="shared" si="5"/>
        <v>4050</v>
      </c>
      <c r="I7" s="27"/>
      <c r="J7" s="27">
        <f t="shared" ref="J7:L7" si="6">SUM(J8:J12)</f>
        <v>4050</v>
      </c>
      <c r="K7" s="27">
        <f t="shared" si="6"/>
        <v>4050</v>
      </c>
      <c r="L7" s="27">
        <f t="shared" si="6"/>
        <v>4050</v>
      </c>
      <c r="M7" s="27"/>
      <c r="N7" s="27">
        <f t="shared" ref="N7:P7" si="7">SUM(N8:N12)</f>
        <v>4050</v>
      </c>
      <c r="O7" s="27">
        <f t="shared" si="7"/>
        <v>4050</v>
      </c>
      <c r="P7" s="27">
        <f t="shared" si="7"/>
        <v>4050</v>
      </c>
      <c r="Q7" s="7"/>
      <c r="R7" s="9">
        <f>SUM(B7:P7)</f>
        <v>48600</v>
      </c>
    </row>
    <row r="8" spans="1:18" ht="12.75" customHeight="1" x14ac:dyDescent="0.25">
      <c r="A8" s="29" t="s">
        <v>24</v>
      </c>
      <c r="B8" s="29">
        <v>1000</v>
      </c>
      <c r="C8" s="29">
        <v>1000</v>
      </c>
      <c r="D8" s="29">
        <v>1000</v>
      </c>
      <c r="F8" s="29">
        <v>1000</v>
      </c>
      <c r="G8" s="29">
        <v>1000</v>
      </c>
      <c r="H8" s="29">
        <v>1000</v>
      </c>
      <c r="J8" s="29">
        <v>1000</v>
      </c>
      <c r="K8" s="29">
        <v>1000</v>
      </c>
      <c r="L8" s="29">
        <v>1000</v>
      </c>
      <c r="N8" s="29">
        <v>1000</v>
      </c>
      <c r="O8" s="29">
        <v>1000</v>
      </c>
      <c r="P8" s="29">
        <v>1000</v>
      </c>
      <c r="Q8" s="7"/>
      <c r="R8" s="9"/>
    </row>
    <row r="9" spans="1:18" ht="12.75" customHeight="1" x14ac:dyDescent="0.25">
      <c r="A9" s="29" t="s">
        <v>25</v>
      </c>
      <c r="B9" s="29">
        <v>800</v>
      </c>
      <c r="C9" s="29">
        <v>800</v>
      </c>
      <c r="D9" s="29">
        <v>800</v>
      </c>
      <c r="F9" s="29">
        <v>800</v>
      </c>
      <c r="G9" s="29">
        <v>800</v>
      </c>
      <c r="H9" s="29">
        <v>800</v>
      </c>
      <c r="J9" s="29">
        <v>800</v>
      </c>
      <c r="K9" s="29">
        <v>800</v>
      </c>
      <c r="L9" s="29">
        <v>800</v>
      </c>
      <c r="N9" s="29">
        <v>800</v>
      </c>
      <c r="O9" s="29">
        <v>800</v>
      </c>
      <c r="P9" s="29">
        <v>800</v>
      </c>
      <c r="Q9" s="7"/>
      <c r="R9" s="9"/>
    </row>
    <row r="10" spans="1:18" ht="12.75" customHeight="1" x14ac:dyDescent="0.25">
      <c r="A10" s="29" t="s">
        <v>26</v>
      </c>
      <c r="B10" s="29">
        <v>1500</v>
      </c>
      <c r="C10" s="29">
        <v>1500</v>
      </c>
      <c r="D10" s="29">
        <v>1500</v>
      </c>
      <c r="F10" s="29">
        <v>1500</v>
      </c>
      <c r="G10" s="29">
        <v>1500</v>
      </c>
      <c r="H10" s="29">
        <v>1500</v>
      </c>
      <c r="J10" s="29">
        <v>1500</v>
      </c>
      <c r="K10" s="29">
        <v>1500</v>
      </c>
      <c r="L10" s="29">
        <v>1500</v>
      </c>
      <c r="N10" s="29">
        <v>1500</v>
      </c>
      <c r="O10" s="29">
        <v>1500</v>
      </c>
      <c r="P10" s="29">
        <v>1500</v>
      </c>
      <c r="Q10" s="7"/>
      <c r="R10" s="9"/>
    </row>
    <row r="11" spans="1:18" ht="12.75" customHeight="1" x14ac:dyDescent="0.25">
      <c r="A11" s="29" t="s">
        <v>28</v>
      </c>
      <c r="B11" s="29">
        <v>500</v>
      </c>
      <c r="C11" s="29">
        <v>500</v>
      </c>
      <c r="D11" s="29">
        <v>500</v>
      </c>
      <c r="F11" s="29">
        <v>500</v>
      </c>
      <c r="G11" s="29">
        <v>500</v>
      </c>
      <c r="H11" s="29">
        <v>500</v>
      </c>
      <c r="J11" s="29">
        <v>500</v>
      </c>
      <c r="K11" s="29">
        <v>500</v>
      </c>
      <c r="L11" s="29">
        <v>500</v>
      </c>
      <c r="N11" s="29">
        <v>500</v>
      </c>
      <c r="O11" s="29">
        <v>500</v>
      </c>
      <c r="P11" s="29">
        <v>500</v>
      </c>
      <c r="Q11" s="17"/>
      <c r="R11" s="22"/>
    </row>
    <row r="12" spans="1:18" ht="12.75" customHeight="1" x14ac:dyDescent="0.25">
      <c r="A12" s="29" t="s">
        <v>29</v>
      </c>
      <c r="B12" s="29">
        <v>250</v>
      </c>
      <c r="C12" s="29">
        <v>250</v>
      </c>
      <c r="D12" s="29">
        <v>250</v>
      </c>
      <c r="F12" s="29">
        <v>250</v>
      </c>
      <c r="G12" s="29">
        <v>250</v>
      </c>
      <c r="H12" s="29">
        <v>250</v>
      </c>
      <c r="J12" s="29">
        <v>250</v>
      </c>
      <c r="K12" s="29">
        <v>250</v>
      </c>
      <c r="L12" s="29">
        <v>250</v>
      </c>
      <c r="N12" s="29">
        <v>250</v>
      </c>
      <c r="O12" s="29">
        <v>250</v>
      </c>
      <c r="P12" s="29">
        <v>250</v>
      </c>
      <c r="Q12" s="17"/>
      <c r="R12" s="22"/>
    </row>
    <row r="13" spans="1:18" ht="12.75" customHeight="1" x14ac:dyDescent="0.25">
      <c r="A13" s="29"/>
      <c r="B13" s="29"/>
      <c r="C13" s="7"/>
      <c r="D13" s="7"/>
      <c r="E13" s="7"/>
      <c r="F13" s="7"/>
      <c r="G13" s="7"/>
      <c r="H13" s="7"/>
      <c r="I13" s="7"/>
      <c r="J13" s="7"/>
      <c r="K13" s="7"/>
      <c r="L13" s="7"/>
      <c r="M13" s="17"/>
      <c r="N13" s="17"/>
      <c r="O13" s="17"/>
      <c r="P13" s="17"/>
      <c r="Q13" s="17"/>
      <c r="R13" s="22"/>
    </row>
    <row r="14" spans="1:18" ht="12.75" customHeight="1" x14ac:dyDescent="0.25">
      <c r="A14" s="29"/>
      <c r="B14" s="29"/>
      <c r="C14" s="7"/>
      <c r="D14" s="7"/>
      <c r="E14" s="7"/>
      <c r="F14" s="7"/>
      <c r="G14" s="7"/>
      <c r="H14" s="7"/>
      <c r="I14" s="7"/>
      <c r="J14" s="7"/>
      <c r="K14" s="7"/>
      <c r="L14" s="7"/>
      <c r="M14" s="17"/>
      <c r="N14" s="17"/>
      <c r="O14" s="17"/>
      <c r="P14" s="17"/>
      <c r="Q14" s="17"/>
      <c r="R14" s="22"/>
    </row>
    <row r="15" spans="1:18" ht="12.75" customHeight="1" x14ac:dyDescent="0.25">
      <c r="A15" s="32" t="s">
        <v>31</v>
      </c>
      <c r="B15" s="33">
        <f t="shared" ref="B15:D15" si="8">SUM(B3,B7)</f>
        <v>6050</v>
      </c>
      <c r="C15" s="33">
        <f t="shared" si="8"/>
        <v>6050</v>
      </c>
      <c r="D15" s="33">
        <f t="shared" si="8"/>
        <v>6050</v>
      </c>
      <c r="E15" s="32"/>
      <c r="F15" s="33">
        <f t="shared" ref="F15:H15" si="9">SUM(F3,F7)</f>
        <v>6050</v>
      </c>
      <c r="G15" s="33">
        <f t="shared" si="9"/>
        <v>6050</v>
      </c>
      <c r="H15" s="33">
        <f t="shared" si="9"/>
        <v>6050</v>
      </c>
      <c r="I15" s="32"/>
      <c r="J15" s="33">
        <f t="shared" ref="J15:L15" si="10">SUM(J3,J7)</f>
        <v>6050</v>
      </c>
      <c r="K15" s="33">
        <f t="shared" si="10"/>
        <v>6050</v>
      </c>
      <c r="L15" s="33">
        <f t="shared" si="10"/>
        <v>6050</v>
      </c>
      <c r="M15" s="32"/>
      <c r="N15" s="33">
        <f t="shared" ref="N15:P15" si="11">SUM(N3,N7)</f>
        <v>6050</v>
      </c>
      <c r="O15" s="33">
        <f t="shared" si="11"/>
        <v>6050</v>
      </c>
      <c r="P15" s="33">
        <f t="shared" si="11"/>
        <v>6050</v>
      </c>
      <c r="Q15" s="17"/>
      <c r="R15" s="22">
        <f>SUM(B15:P15)</f>
        <v>72600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  <outlinePr summaryBelow="0" summaryRight="0"/>
  </sheetPr>
  <dimension ref="A1:S1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 x14ac:dyDescent="0.25"/>
  <cols>
    <col min="1" max="1" width="23.6640625" customWidth="1"/>
    <col min="2" max="4" width="9.6640625" customWidth="1"/>
    <col min="5" max="5" width="2.6640625" customWidth="1"/>
    <col min="6" max="8" width="9.6640625" customWidth="1"/>
    <col min="9" max="9" width="2.6640625" customWidth="1"/>
    <col min="10" max="12" width="9.6640625" customWidth="1"/>
    <col min="13" max="13" width="2.6640625" customWidth="1"/>
    <col min="14" max="16" width="9.6640625" customWidth="1"/>
    <col min="17" max="17" width="3.33203125" customWidth="1"/>
    <col min="18" max="18" width="11.33203125" customWidth="1"/>
    <col min="19" max="19" width="11.33203125" hidden="1" customWidth="1"/>
  </cols>
  <sheetData>
    <row r="1" spans="1:19" ht="18.75" customHeight="1" x14ac:dyDescent="0.3">
      <c r="A1" s="1" t="s">
        <v>37</v>
      </c>
      <c r="B1" s="2" t="s">
        <v>2</v>
      </c>
      <c r="C1" s="2" t="s">
        <v>4</v>
      </c>
      <c r="D1" s="2" t="s">
        <v>5</v>
      </c>
      <c r="E1" s="34"/>
      <c r="F1" s="2" t="s">
        <v>6</v>
      </c>
      <c r="G1" s="4" t="s">
        <v>7</v>
      </c>
      <c r="H1" s="4" t="s">
        <v>8</v>
      </c>
      <c r="I1" s="34"/>
      <c r="J1" s="4" t="s">
        <v>9</v>
      </c>
      <c r="K1" s="4" t="s">
        <v>10</v>
      </c>
      <c r="L1" s="4" t="s">
        <v>11</v>
      </c>
      <c r="M1" s="34"/>
      <c r="N1" s="4" t="s">
        <v>12</v>
      </c>
      <c r="O1" s="4" t="s">
        <v>13</v>
      </c>
      <c r="P1" s="4" t="s">
        <v>14</v>
      </c>
      <c r="Q1" s="34"/>
      <c r="R1" s="5" t="s">
        <v>15</v>
      </c>
      <c r="S1" s="5" t="s">
        <v>15</v>
      </c>
    </row>
    <row r="2" spans="1:19" ht="12.75" customHeight="1" x14ac:dyDescent="0.25">
      <c r="A2" s="3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6"/>
    </row>
    <row r="3" spans="1:19" ht="12.75" customHeight="1" x14ac:dyDescent="0.25">
      <c r="A3" s="37" t="s">
        <v>39</v>
      </c>
      <c r="B3" s="9">
        <f t="shared" ref="B3:D3" si="0">SUM(B4:B5)</f>
        <v>1000</v>
      </c>
      <c r="C3" s="9">
        <f t="shared" si="0"/>
        <v>1000</v>
      </c>
      <c r="D3" s="9">
        <f t="shared" si="0"/>
        <v>1000</v>
      </c>
      <c r="E3" s="15"/>
      <c r="F3" s="9">
        <f t="shared" ref="F3:H3" si="1">SUM(F4:F5)</f>
        <v>1000</v>
      </c>
      <c r="G3" s="9">
        <f t="shared" si="1"/>
        <v>1000</v>
      </c>
      <c r="H3" s="9">
        <f t="shared" si="1"/>
        <v>1000</v>
      </c>
      <c r="I3" s="15"/>
      <c r="J3" s="9">
        <f t="shared" ref="J3:L3" si="2">SUM(J4:J5)</f>
        <v>1000</v>
      </c>
      <c r="K3" s="9">
        <f t="shared" si="2"/>
        <v>1000</v>
      </c>
      <c r="L3" s="9">
        <f t="shared" si="2"/>
        <v>1000</v>
      </c>
      <c r="M3" s="15"/>
      <c r="N3" s="9">
        <f t="shared" ref="N3:P3" si="3">SUM(N4:N5)</f>
        <v>1000</v>
      </c>
      <c r="O3" s="9">
        <f t="shared" si="3"/>
        <v>1000</v>
      </c>
      <c r="P3" s="9">
        <f t="shared" si="3"/>
        <v>1000</v>
      </c>
      <c r="Q3" s="15"/>
      <c r="R3" s="15"/>
      <c r="S3" s="16"/>
    </row>
    <row r="4" spans="1:19" ht="12.75" customHeight="1" x14ac:dyDescent="0.25">
      <c r="A4" s="15" t="s">
        <v>47</v>
      </c>
      <c r="B4" s="7">
        <v>500</v>
      </c>
      <c r="C4" s="7">
        <v>500</v>
      </c>
      <c r="D4" s="7">
        <v>500</v>
      </c>
      <c r="E4" s="7"/>
      <c r="F4" s="7">
        <v>500</v>
      </c>
      <c r="G4" s="7">
        <v>500</v>
      </c>
      <c r="H4" s="7">
        <v>500</v>
      </c>
      <c r="I4" s="7"/>
      <c r="J4" s="7">
        <v>500</v>
      </c>
      <c r="K4" s="7">
        <v>500</v>
      </c>
      <c r="L4" s="7">
        <v>500</v>
      </c>
      <c r="M4" s="7"/>
      <c r="N4" s="7">
        <v>500</v>
      </c>
      <c r="O4" s="7">
        <v>500</v>
      </c>
      <c r="P4" s="7">
        <v>500</v>
      </c>
      <c r="Q4" s="7"/>
      <c r="R4" s="9"/>
      <c r="S4" s="9"/>
    </row>
    <row r="5" spans="1:19" ht="12.75" customHeight="1" x14ac:dyDescent="0.25">
      <c r="A5" s="16" t="s">
        <v>49</v>
      </c>
      <c r="B5" s="7">
        <v>500</v>
      </c>
      <c r="C5" s="7">
        <v>500</v>
      </c>
      <c r="D5" s="7">
        <v>500</v>
      </c>
      <c r="E5" s="7"/>
      <c r="F5" s="7">
        <v>500</v>
      </c>
      <c r="G5" s="7">
        <v>500</v>
      </c>
      <c r="H5" s="7">
        <v>500</v>
      </c>
      <c r="I5" s="7"/>
      <c r="J5" s="7">
        <v>500</v>
      </c>
      <c r="K5" s="7">
        <v>500</v>
      </c>
      <c r="L5" s="7">
        <v>500</v>
      </c>
      <c r="M5" s="7"/>
      <c r="N5" s="7">
        <v>500</v>
      </c>
      <c r="O5" s="7">
        <v>500</v>
      </c>
      <c r="P5" s="7">
        <v>500</v>
      </c>
      <c r="Q5" s="7"/>
      <c r="R5" s="9"/>
      <c r="S5" s="9">
        <v>204660</v>
      </c>
    </row>
    <row r="6" spans="1:19" ht="12.75" customHeight="1" x14ac:dyDescent="0.25">
      <c r="A6" s="16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6"/>
    </row>
    <row r="7" spans="1:19" ht="12.75" customHeight="1" x14ac:dyDescent="0.25">
      <c r="A7" s="37" t="s">
        <v>50</v>
      </c>
      <c r="B7" s="9">
        <f t="shared" ref="B7:D7" si="4">SUM(B8:B9)</f>
        <v>110</v>
      </c>
      <c r="C7" s="9">
        <f t="shared" si="4"/>
        <v>110</v>
      </c>
      <c r="D7" s="9">
        <f t="shared" si="4"/>
        <v>110</v>
      </c>
      <c r="E7" s="7"/>
      <c r="F7" s="9">
        <f t="shared" ref="F7:H7" si="5">SUM(F8:F9)</f>
        <v>110</v>
      </c>
      <c r="G7" s="9">
        <f t="shared" si="5"/>
        <v>110</v>
      </c>
      <c r="H7" s="9">
        <f t="shared" si="5"/>
        <v>110</v>
      </c>
      <c r="I7" s="7"/>
      <c r="J7" s="9">
        <f t="shared" ref="J7:L7" si="6">SUM(J8:J9)</f>
        <v>110</v>
      </c>
      <c r="K7" s="9">
        <f t="shared" si="6"/>
        <v>110</v>
      </c>
      <c r="L7" s="9">
        <f t="shared" si="6"/>
        <v>110</v>
      </c>
      <c r="M7" s="7"/>
      <c r="N7" s="9">
        <f t="shared" ref="N7:P7" si="7">SUM(N8:N9)</f>
        <v>110</v>
      </c>
      <c r="O7" s="9">
        <f t="shared" si="7"/>
        <v>110</v>
      </c>
      <c r="P7" s="9">
        <f t="shared" si="7"/>
        <v>110</v>
      </c>
      <c r="Q7" s="7"/>
      <c r="R7" s="9"/>
      <c r="S7" s="22"/>
    </row>
    <row r="8" spans="1:19" ht="12.75" customHeight="1" x14ac:dyDescent="0.25">
      <c r="A8" s="15" t="s">
        <v>51</v>
      </c>
      <c r="B8" s="7">
        <v>100</v>
      </c>
      <c r="C8" s="7">
        <v>100</v>
      </c>
      <c r="D8" s="7">
        <v>100</v>
      </c>
      <c r="E8" s="15"/>
      <c r="F8" s="7">
        <v>100</v>
      </c>
      <c r="G8" s="7">
        <v>100</v>
      </c>
      <c r="H8" s="7">
        <v>100</v>
      </c>
      <c r="I8" s="15"/>
      <c r="J8" s="7">
        <v>100</v>
      </c>
      <c r="K8" s="7">
        <v>100</v>
      </c>
      <c r="L8" s="7">
        <v>100</v>
      </c>
      <c r="M8" s="15"/>
      <c r="N8" s="7">
        <v>100</v>
      </c>
      <c r="O8" s="7">
        <v>100</v>
      </c>
      <c r="P8" s="7">
        <v>100</v>
      </c>
      <c r="Q8" s="7"/>
      <c r="R8" s="9"/>
      <c r="S8" s="22"/>
    </row>
    <row r="9" spans="1:19" ht="12.75" customHeight="1" x14ac:dyDescent="0.25">
      <c r="A9" s="15" t="s">
        <v>52</v>
      </c>
      <c r="B9" s="7">
        <v>10</v>
      </c>
      <c r="C9" s="7">
        <v>10</v>
      </c>
      <c r="D9" s="7">
        <v>10</v>
      </c>
      <c r="E9" s="7"/>
      <c r="F9" s="7">
        <v>10</v>
      </c>
      <c r="G9" s="7">
        <v>10</v>
      </c>
      <c r="H9" s="7">
        <v>10</v>
      </c>
      <c r="I9" s="7"/>
      <c r="J9" s="7">
        <v>10</v>
      </c>
      <c r="K9" s="7">
        <v>10</v>
      </c>
      <c r="L9" s="7">
        <v>10</v>
      </c>
      <c r="M9" s="7"/>
      <c r="N9" s="7">
        <v>10</v>
      </c>
      <c r="O9" s="7">
        <v>10</v>
      </c>
      <c r="P9" s="7">
        <v>10</v>
      </c>
      <c r="Q9" s="7"/>
      <c r="R9" s="9"/>
      <c r="S9" s="9"/>
    </row>
    <row r="10" spans="1:19" ht="12.75" customHeight="1" x14ac:dyDescent="0.25">
      <c r="A10" s="16" t="s">
        <v>54</v>
      </c>
      <c r="B10" s="7">
        <v>100</v>
      </c>
      <c r="C10" s="7">
        <v>100</v>
      </c>
      <c r="D10" s="7">
        <v>100</v>
      </c>
      <c r="E10" s="7"/>
      <c r="F10" s="7">
        <v>100</v>
      </c>
      <c r="G10" s="7">
        <v>100</v>
      </c>
      <c r="H10" s="7">
        <v>100</v>
      </c>
      <c r="I10" s="7"/>
      <c r="J10" s="7">
        <v>100</v>
      </c>
      <c r="K10" s="7">
        <v>100</v>
      </c>
      <c r="L10" s="7">
        <v>100</v>
      </c>
      <c r="M10" s="7"/>
      <c r="N10" s="7">
        <v>100</v>
      </c>
      <c r="O10" s="7">
        <v>100</v>
      </c>
      <c r="P10" s="7">
        <v>100</v>
      </c>
      <c r="Q10" s="7"/>
      <c r="R10" s="9"/>
      <c r="S10" s="22"/>
    </row>
    <row r="11" spans="1:19" ht="12.75" customHeight="1" x14ac:dyDescent="0.25">
      <c r="A11" s="1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9"/>
      <c r="S11" s="22"/>
    </row>
    <row r="12" spans="1:19" ht="13.5" customHeight="1" x14ac:dyDescent="0.25">
      <c r="A12" s="12" t="s">
        <v>55</v>
      </c>
      <c r="B12" s="9">
        <f t="shared" ref="B12:D12" si="8">SUM(B13)</f>
        <v>10</v>
      </c>
      <c r="C12" s="9">
        <f t="shared" si="8"/>
        <v>10</v>
      </c>
      <c r="D12" s="9">
        <f t="shared" si="8"/>
        <v>10</v>
      </c>
      <c r="E12" s="15"/>
      <c r="F12" s="9">
        <f t="shared" ref="F12:H12" si="9">SUM(F13)</f>
        <v>10</v>
      </c>
      <c r="G12" s="9">
        <f t="shared" si="9"/>
        <v>10</v>
      </c>
      <c r="H12" s="9">
        <f t="shared" si="9"/>
        <v>10</v>
      </c>
      <c r="I12" s="15"/>
      <c r="J12" s="9">
        <f t="shared" ref="J12:L12" si="10">SUM(J13)</f>
        <v>10</v>
      </c>
      <c r="K12" s="9">
        <f t="shared" si="10"/>
        <v>10</v>
      </c>
      <c r="L12" s="9">
        <f t="shared" si="10"/>
        <v>10</v>
      </c>
      <c r="M12" s="15"/>
      <c r="N12" s="9">
        <f t="shared" ref="N12:P12" si="11">SUM(N13)</f>
        <v>10</v>
      </c>
      <c r="O12" s="9">
        <f t="shared" si="11"/>
        <v>10</v>
      </c>
      <c r="P12" s="9">
        <f t="shared" si="11"/>
        <v>10</v>
      </c>
      <c r="Q12" s="9"/>
      <c r="R12" s="15"/>
      <c r="S12" s="15"/>
    </row>
    <row r="13" spans="1:19" ht="12.75" customHeight="1" x14ac:dyDescent="0.25">
      <c r="A13" s="16" t="s">
        <v>56</v>
      </c>
      <c r="B13" s="7">
        <v>10</v>
      </c>
      <c r="C13" s="7">
        <v>10</v>
      </c>
      <c r="D13" s="7">
        <v>10</v>
      </c>
      <c r="E13" s="15"/>
      <c r="F13" s="7">
        <v>10</v>
      </c>
      <c r="G13" s="7">
        <v>10</v>
      </c>
      <c r="H13" s="7">
        <v>10</v>
      </c>
      <c r="I13" s="15"/>
      <c r="J13" s="7">
        <v>10</v>
      </c>
      <c r="K13" s="7">
        <v>10</v>
      </c>
      <c r="L13" s="7">
        <v>10</v>
      </c>
      <c r="M13" s="15"/>
      <c r="N13" s="7">
        <v>10</v>
      </c>
      <c r="O13" s="7">
        <v>10</v>
      </c>
      <c r="P13" s="7">
        <v>10</v>
      </c>
      <c r="Q13" s="15"/>
      <c r="R13" s="15"/>
      <c r="S13" s="16"/>
    </row>
    <row r="14" spans="1:19" ht="12.75" customHeight="1" x14ac:dyDescent="0.25">
      <c r="A14" s="16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6"/>
    </row>
    <row r="15" spans="1:19" ht="13.8" x14ac:dyDescent="0.25">
      <c r="A15" s="39" t="s">
        <v>58</v>
      </c>
      <c r="B15" s="40">
        <f t="shared" ref="B15:D15" si="12">B3+B7+B12</f>
        <v>1120</v>
      </c>
      <c r="C15" s="40">
        <f t="shared" si="12"/>
        <v>1120</v>
      </c>
      <c r="D15" s="40">
        <f t="shared" si="12"/>
        <v>1120</v>
      </c>
      <c r="E15" s="40"/>
      <c r="F15" s="40">
        <f t="shared" ref="F15:H15" si="13">F3+F7+F12</f>
        <v>1120</v>
      </c>
      <c r="G15" s="40">
        <f t="shared" si="13"/>
        <v>1120</v>
      </c>
      <c r="H15" s="40">
        <f t="shared" si="13"/>
        <v>1120</v>
      </c>
      <c r="I15" s="40"/>
      <c r="J15" s="40">
        <f t="shared" ref="J15:L15" si="14">J3+J7+J12</f>
        <v>1120</v>
      </c>
      <c r="K15" s="40">
        <f t="shared" si="14"/>
        <v>1120</v>
      </c>
      <c r="L15" s="40">
        <f t="shared" si="14"/>
        <v>1120</v>
      </c>
      <c r="M15" s="40"/>
      <c r="N15" s="40">
        <f t="shared" ref="N15:P15" si="15">N3+N7+N12</f>
        <v>1120</v>
      </c>
      <c r="O15" s="40">
        <f t="shared" si="15"/>
        <v>1120</v>
      </c>
      <c r="P15" s="40">
        <f t="shared" si="15"/>
        <v>1120</v>
      </c>
      <c r="Q15" s="22"/>
      <c r="R15" s="37"/>
      <c r="S15" s="37"/>
    </row>
    <row r="16" spans="1:19" ht="13.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  <outlinePr summaryBelow="0" summaryRight="0"/>
  </sheetPr>
  <dimension ref="A1:S21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.75" customHeight="1" x14ac:dyDescent="0.25"/>
  <cols>
    <col min="1" max="1" width="23.6640625" customWidth="1"/>
    <col min="2" max="4" width="9.6640625" customWidth="1"/>
    <col min="5" max="5" width="2.6640625" customWidth="1"/>
    <col min="6" max="8" width="9.6640625" customWidth="1"/>
    <col min="9" max="9" width="2.6640625" customWidth="1"/>
    <col min="10" max="12" width="9.6640625" customWidth="1"/>
    <col min="13" max="13" width="2.6640625" customWidth="1"/>
    <col min="14" max="16" width="9.6640625" customWidth="1"/>
    <col min="17" max="17" width="3.33203125" customWidth="1"/>
    <col min="18" max="18" width="11.33203125" customWidth="1"/>
    <col min="19" max="19" width="11.33203125" hidden="1" customWidth="1"/>
  </cols>
  <sheetData>
    <row r="1" spans="1:19" ht="18.75" customHeight="1" x14ac:dyDescent="0.3">
      <c r="A1" s="1" t="s">
        <v>40</v>
      </c>
      <c r="B1" s="2" t="s">
        <v>2</v>
      </c>
      <c r="C1" s="2" t="s">
        <v>4</v>
      </c>
      <c r="D1" s="2" t="s">
        <v>5</v>
      </c>
      <c r="E1" s="34"/>
      <c r="F1" s="2" t="s">
        <v>6</v>
      </c>
      <c r="G1" s="4" t="s">
        <v>7</v>
      </c>
      <c r="H1" s="4" t="s">
        <v>8</v>
      </c>
      <c r="I1" s="34"/>
      <c r="J1" s="4" t="s">
        <v>9</v>
      </c>
      <c r="K1" s="4" t="s">
        <v>10</v>
      </c>
      <c r="L1" s="4" t="s">
        <v>11</v>
      </c>
      <c r="M1" s="34"/>
      <c r="N1" s="4" t="s">
        <v>12</v>
      </c>
      <c r="O1" s="4" t="s">
        <v>13</v>
      </c>
      <c r="P1" s="4" t="s">
        <v>14</v>
      </c>
      <c r="Q1" s="34"/>
      <c r="R1" s="5" t="s">
        <v>15</v>
      </c>
      <c r="S1" s="5" t="s">
        <v>15</v>
      </c>
    </row>
    <row r="2" spans="1:19" ht="12.75" customHeight="1" x14ac:dyDescent="0.25">
      <c r="A2" s="3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6"/>
    </row>
    <row r="3" spans="1:19" ht="12.75" customHeight="1" x14ac:dyDescent="0.25">
      <c r="A3" s="37" t="s">
        <v>41</v>
      </c>
      <c r="B3" s="9">
        <f t="shared" ref="B3:D3" si="0">SUM(B4:B7)</f>
        <v>13000</v>
      </c>
      <c r="C3" s="9">
        <f t="shared" si="0"/>
        <v>13000</v>
      </c>
      <c r="D3" s="9">
        <f t="shared" si="0"/>
        <v>13000</v>
      </c>
      <c r="E3" s="15"/>
      <c r="F3" s="9">
        <f t="shared" ref="F3:H3" si="1">SUM(F4:F7)</f>
        <v>13000</v>
      </c>
      <c r="G3" s="9">
        <f t="shared" si="1"/>
        <v>13000</v>
      </c>
      <c r="H3" s="9">
        <f t="shared" si="1"/>
        <v>13000</v>
      </c>
      <c r="I3" s="15"/>
      <c r="J3" s="9">
        <f t="shared" ref="J3:L3" si="2">SUM(J4:J7)</f>
        <v>13000</v>
      </c>
      <c r="K3" s="9">
        <f t="shared" si="2"/>
        <v>13000</v>
      </c>
      <c r="L3" s="9">
        <f t="shared" si="2"/>
        <v>13000</v>
      </c>
      <c r="M3" s="15"/>
      <c r="N3" s="9">
        <f t="shared" ref="N3:P3" si="3">SUM(N4:N7)</f>
        <v>13000</v>
      </c>
      <c r="O3" s="9">
        <f t="shared" si="3"/>
        <v>13000</v>
      </c>
      <c r="P3" s="9">
        <f t="shared" si="3"/>
        <v>13000</v>
      </c>
      <c r="Q3" s="15"/>
      <c r="R3" s="15"/>
      <c r="S3" s="16"/>
    </row>
    <row r="4" spans="1:19" ht="12.75" customHeight="1" x14ac:dyDescent="0.25">
      <c r="A4" s="15" t="s">
        <v>42</v>
      </c>
      <c r="B4" s="7">
        <v>5000</v>
      </c>
      <c r="C4" s="7">
        <v>5000</v>
      </c>
      <c r="D4" s="7">
        <v>5000</v>
      </c>
      <c r="E4" s="7"/>
      <c r="F4" s="7">
        <v>5000</v>
      </c>
      <c r="G4" s="7">
        <v>5000</v>
      </c>
      <c r="H4" s="7">
        <v>5000</v>
      </c>
      <c r="I4" s="7"/>
      <c r="J4" s="7">
        <v>5000</v>
      </c>
      <c r="K4" s="7">
        <v>5000</v>
      </c>
      <c r="L4" s="7">
        <v>5000</v>
      </c>
      <c r="M4" s="7"/>
      <c r="N4" s="7">
        <v>5000</v>
      </c>
      <c r="O4" s="7">
        <v>5000</v>
      </c>
      <c r="P4" s="7">
        <v>5000</v>
      </c>
      <c r="Q4" s="7"/>
      <c r="R4" s="9"/>
      <c r="S4" s="9"/>
    </row>
    <row r="5" spans="1:19" ht="12.75" customHeight="1" x14ac:dyDescent="0.25">
      <c r="A5" s="16" t="s">
        <v>43</v>
      </c>
      <c r="B5" s="7">
        <v>4000</v>
      </c>
      <c r="C5" s="7">
        <v>4000</v>
      </c>
      <c r="D5" s="7">
        <v>4000</v>
      </c>
      <c r="E5" s="7"/>
      <c r="F5" s="7">
        <v>4000</v>
      </c>
      <c r="G5" s="7">
        <v>4000</v>
      </c>
      <c r="H5" s="7">
        <v>4000</v>
      </c>
      <c r="I5" s="7"/>
      <c r="J5" s="7">
        <v>4000</v>
      </c>
      <c r="K5" s="7">
        <v>4000</v>
      </c>
      <c r="L5" s="7">
        <v>4000</v>
      </c>
      <c r="M5" s="7"/>
      <c r="N5" s="7">
        <v>4000</v>
      </c>
      <c r="O5" s="7">
        <v>4000</v>
      </c>
      <c r="P5" s="7">
        <v>4000</v>
      </c>
      <c r="Q5" s="7"/>
      <c r="R5" s="9"/>
      <c r="S5" s="9">
        <v>204660</v>
      </c>
    </row>
    <row r="6" spans="1:19" ht="12.75" customHeight="1" x14ac:dyDescent="0.25">
      <c r="A6" s="15" t="s">
        <v>44</v>
      </c>
      <c r="B6" s="7">
        <v>4000</v>
      </c>
      <c r="C6" s="7">
        <v>4000</v>
      </c>
      <c r="D6" s="7">
        <v>4000</v>
      </c>
      <c r="E6" s="7"/>
      <c r="F6" s="7">
        <v>4000</v>
      </c>
      <c r="G6" s="7">
        <v>4000</v>
      </c>
      <c r="H6" s="7">
        <v>4000</v>
      </c>
      <c r="I6" s="7"/>
      <c r="J6" s="7">
        <v>4000</v>
      </c>
      <c r="K6" s="7">
        <v>4000</v>
      </c>
      <c r="L6" s="7">
        <v>4000</v>
      </c>
      <c r="M6" s="7"/>
      <c r="N6" s="7">
        <v>4000</v>
      </c>
      <c r="O6" s="7">
        <v>4000</v>
      </c>
      <c r="P6" s="7">
        <v>4000</v>
      </c>
      <c r="Q6" s="7"/>
      <c r="R6" s="9"/>
      <c r="S6" s="9">
        <v>191412</v>
      </c>
    </row>
    <row r="7" spans="1:19" ht="12.75" customHeight="1" x14ac:dyDescent="0.25">
      <c r="A7" s="15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9"/>
      <c r="S7" s="9"/>
    </row>
    <row r="8" spans="1:19" ht="12.75" customHeight="1" x14ac:dyDescent="0.25">
      <c r="A8" s="16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6"/>
    </row>
    <row r="9" spans="1:19" ht="12.75" customHeight="1" x14ac:dyDescent="0.25">
      <c r="A9" s="37" t="s">
        <v>45</v>
      </c>
      <c r="B9" s="9">
        <f t="shared" ref="B9:D9" si="4">SUM(B10:B11)</f>
        <v>1000</v>
      </c>
      <c r="C9" s="9">
        <f t="shared" si="4"/>
        <v>1000</v>
      </c>
      <c r="D9" s="9">
        <f t="shared" si="4"/>
        <v>1000</v>
      </c>
      <c r="E9" s="7"/>
      <c r="F9" s="9">
        <f t="shared" ref="F9:H9" si="5">SUM(F10:F11)</f>
        <v>1000</v>
      </c>
      <c r="G9" s="9">
        <f t="shared" si="5"/>
        <v>1000</v>
      </c>
      <c r="H9" s="9">
        <f t="shared" si="5"/>
        <v>1000</v>
      </c>
      <c r="I9" s="7"/>
      <c r="J9" s="9">
        <f t="shared" ref="J9:L9" si="6">SUM(J10:J11)</f>
        <v>1000</v>
      </c>
      <c r="K9" s="9">
        <f t="shared" si="6"/>
        <v>1000</v>
      </c>
      <c r="L9" s="9">
        <f t="shared" si="6"/>
        <v>1000</v>
      </c>
      <c r="M9" s="7"/>
      <c r="N9" s="9">
        <f t="shared" ref="N9:P9" si="7">SUM(N10:N11)</f>
        <v>1000</v>
      </c>
      <c r="O9" s="9">
        <f t="shared" si="7"/>
        <v>1000</v>
      </c>
      <c r="P9" s="9">
        <f t="shared" si="7"/>
        <v>1000</v>
      </c>
      <c r="Q9" s="7"/>
      <c r="R9" s="9"/>
      <c r="S9" s="22"/>
    </row>
    <row r="10" spans="1:19" ht="12.75" customHeight="1" x14ac:dyDescent="0.25">
      <c r="A10" s="16" t="s">
        <v>46</v>
      </c>
      <c r="B10" s="7">
        <v>1000</v>
      </c>
      <c r="C10" s="7">
        <v>1000</v>
      </c>
      <c r="D10" s="7">
        <v>1000</v>
      </c>
      <c r="E10" s="15"/>
      <c r="F10" s="7">
        <v>1000</v>
      </c>
      <c r="G10" s="7">
        <v>1000</v>
      </c>
      <c r="H10" s="7">
        <v>1000</v>
      </c>
      <c r="I10" s="15"/>
      <c r="J10" s="7">
        <v>1000</v>
      </c>
      <c r="K10" s="7">
        <v>1000</v>
      </c>
      <c r="L10" s="7">
        <v>1000</v>
      </c>
      <c r="M10" s="15"/>
      <c r="N10" s="7">
        <v>1000</v>
      </c>
      <c r="O10" s="7">
        <v>1000</v>
      </c>
      <c r="P10" s="7">
        <v>1000</v>
      </c>
      <c r="Q10" s="7"/>
      <c r="R10" s="9"/>
      <c r="S10" s="22"/>
    </row>
    <row r="11" spans="1:19" ht="12.75" customHeight="1" x14ac:dyDescent="0.25">
      <c r="A11" s="1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9"/>
      <c r="S11" s="9"/>
    </row>
    <row r="12" spans="1:19" ht="12.75" customHeight="1" x14ac:dyDescent="0.25">
      <c r="A12" s="1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9"/>
      <c r="S12" s="22"/>
    </row>
    <row r="13" spans="1:19" ht="12.75" customHeight="1" x14ac:dyDescent="0.25">
      <c r="A13" s="1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9"/>
      <c r="S13" s="22"/>
    </row>
    <row r="14" spans="1:19" ht="13.5" customHeight="1" x14ac:dyDescent="0.25">
      <c r="A14" s="12" t="s">
        <v>48</v>
      </c>
      <c r="B14" s="9">
        <f t="shared" ref="B14:D14" si="8">B3*0.1</f>
        <v>1300</v>
      </c>
      <c r="C14" s="9">
        <f t="shared" si="8"/>
        <v>1300</v>
      </c>
      <c r="D14" s="9">
        <f t="shared" si="8"/>
        <v>1300</v>
      </c>
      <c r="E14" s="9"/>
      <c r="F14" s="9">
        <f t="shared" ref="F14:H14" si="9">F3*0.1</f>
        <v>1300</v>
      </c>
      <c r="G14" s="9">
        <f t="shared" si="9"/>
        <v>1300</v>
      </c>
      <c r="H14" s="9">
        <f t="shared" si="9"/>
        <v>1300</v>
      </c>
      <c r="I14" s="9"/>
      <c r="J14" s="9">
        <f t="shared" ref="J14:L14" si="10">J3*0.1</f>
        <v>1300</v>
      </c>
      <c r="K14" s="9">
        <f t="shared" si="10"/>
        <v>1300</v>
      </c>
      <c r="L14" s="9">
        <f t="shared" si="10"/>
        <v>1300</v>
      </c>
      <c r="M14" s="9"/>
      <c r="N14" s="9">
        <f t="shared" ref="N14:P14" si="11">N3*0.1</f>
        <v>1300</v>
      </c>
      <c r="O14" s="9">
        <f t="shared" si="11"/>
        <v>1300</v>
      </c>
      <c r="P14" s="9">
        <f t="shared" si="11"/>
        <v>1300</v>
      </c>
      <c r="Q14" s="9"/>
      <c r="R14" s="15"/>
      <c r="S14" s="15"/>
    </row>
    <row r="15" spans="1:19" ht="12.75" customHeight="1" x14ac:dyDescent="0.25">
      <c r="A15" s="37"/>
      <c r="B15" s="7"/>
      <c r="C15" s="7"/>
      <c r="D15" s="7"/>
      <c r="E15" s="15"/>
      <c r="F15" s="7"/>
      <c r="G15" s="7"/>
      <c r="H15" s="7"/>
      <c r="I15" s="15"/>
      <c r="J15" s="7"/>
      <c r="K15" s="7"/>
      <c r="L15" s="7"/>
      <c r="M15" s="15"/>
      <c r="N15" s="7"/>
      <c r="O15" s="7"/>
      <c r="P15" s="7"/>
      <c r="Q15" s="15"/>
      <c r="R15" s="15"/>
      <c r="S15" s="16"/>
    </row>
    <row r="16" spans="1:19" ht="12.75" customHeight="1" x14ac:dyDescent="0.25">
      <c r="A16" s="37" t="s">
        <v>53</v>
      </c>
      <c r="B16" s="38">
        <f t="shared" ref="B16:D16" si="12">SUM(B17:B19)</f>
        <v>750</v>
      </c>
      <c r="C16" s="38">
        <f t="shared" si="12"/>
        <v>750</v>
      </c>
      <c r="D16" s="38">
        <f t="shared" si="12"/>
        <v>750</v>
      </c>
      <c r="E16" s="12"/>
      <c r="F16" s="38">
        <f t="shared" ref="F16:H16" si="13">SUM(F17:F19)</f>
        <v>750</v>
      </c>
      <c r="G16" s="38">
        <f t="shared" si="13"/>
        <v>750</v>
      </c>
      <c r="H16" s="38">
        <f t="shared" si="13"/>
        <v>750</v>
      </c>
      <c r="I16" s="12"/>
      <c r="J16" s="38">
        <f t="shared" ref="J16:L16" si="14">SUM(J17:J19)</f>
        <v>750</v>
      </c>
      <c r="K16" s="38">
        <f t="shared" si="14"/>
        <v>750</v>
      </c>
      <c r="L16" s="38">
        <f t="shared" si="14"/>
        <v>750</v>
      </c>
      <c r="M16" s="12"/>
      <c r="N16" s="38">
        <f t="shared" ref="N16:P16" si="15">SUM(N17:N19)</f>
        <v>750</v>
      </c>
      <c r="O16" s="38">
        <f t="shared" si="15"/>
        <v>750</v>
      </c>
      <c r="P16" s="38">
        <f t="shared" si="15"/>
        <v>750</v>
      </c>
      <c r="Q16" s="15"/>
      <c r="R16" s="15"/>
      <c r="S16" s="16"/>
    </row>
    <row r="17" spans="1:19" ht="12.75" customHeight="1" x14ac:dyDescent="0.25">
      <c r="A17" s="16" t="s">
        <v>57</v>
      </c>
      <c r="B17" s="7">
        <v>750</v>
      </c>
      <c r="C17" s="7">
        <v>750</v>
      </c>
      <c r="D17" s="7">
        <v>750</v>
      </c>
      <c r="E17" s="15"/>
      <c r="F17" s="7">
        <v>750</v>
      </c>
      <c r="G17" s="7">
        <v>750</v>
      </c>
      <c r="H17" s="7">
        <v>750</v>
      </c>
      <c r="I17" s="15"/>
      <c r="J17" s="7">
        <v>750</v>
      </c>
      <c r="K17" s="7">
        <v>750</v>
      </c>
      <c r="L17" s="7">
        <v>750</v>
      </c>
      <c r="M17" s="7"/>
      <c r="N17" s="7">
        <v>750</v>
      </c>
      <c r="O17" s="7">
        <v>750</v>
      </c>
      <c r="P17" s="7">
        <v>750</v>
      </c>
      <c r="Q17" s="15"/>
      <c r="R17" s="15"/>
      <c r="S17" s="16"/>
    </row>
    <row r="18" spans="1:19" ht="12.75" customHeight="1" x14ac:dyDescent="0.25">
      <c r="A18" s="16"/>
      <c r="B18" s="23"/>
      <c r="C18" s="23"/>
      <c r="D18" s="23"/>
      <c r="E18" s="15"/>
      <c r="F18" s="23"/>
      <c r="G18" s="23"/>
      <c r="H18" s="23"/>
      <c r="I18" s="15"/>
      <c r="J18" s="23"/>
      <c r="K18" s="23"/>
      <c r="L18" s="23"/>
      <c r="M18" s="15"/>
      <c r="N18" s="23"/>
      <c r="O18" s="23"/>
      <c r="P18" s="23"/>
      <c r="Q18" s="15"/>
      <c r="R18" s="15"/>
      <c r="S18" s="16"/>
    </row>
    <row r="19" spans="1:19" ht="12.75" customHeight="1" x14ac:dyDescent="0.25">
      <c r="A19" s="16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/>
    </row>
    <row r="20" spans="1:19" ht="13.8" x14ac:dyDescent="0.25">
      <c r="A20" s="39" t="s">
        <v>59</v>
      </c>
      <c r="B20" s="40">
        <f t="shared" ref="B20:D20" si="16">B3+B9+B14+B16</f>
        <v>16050</v>
      </c>
      <c r="C20" s="40">
        <f t="shared" si="16"/>
        <v>16050</v>
      </c>
      <c r="D20" s="40">
        <f t="shared" si="16"/>
        <v>16050</v>
      </c>
      <c r="E20" s="40"/>
      <c r="F20" s="40">
        <f t="shared" ref="F20:H20" si="17">F3+F9+F14+F16</f>
        <v>16050</v>
      </c>
      <c r="G20" s="40">
        <f t="shared" si="17"/>
        <v>16050</v>
      </c>
      <c r="H20" s="40">
        <f t="shared" si="17"/>
        <v>16050</v>
      </c>
      <c r="I20" s="40"/>
      <c r="J20" s="40">
        <f t="shared" ref="J20:L20" si="18">J3+J9+J14+J16</f>
        <v>16050</v>
      </c>
      <c r="K20" s="40">
        <f t="shared" si="18"/>
        <v>16050</v>
      </c>
      <c r="L20" s="40">
        <f t="shared" si="18"/>
        <v>16050</v>
      </c>
      <c r="M20" s="40"/>
      <c r="N20" s="40">
        <f t="shared" ref="N20:P20" si="19">N3+N9+N14+N16</f>
        <v>16050</v>
      </c>
      <c r="O20" s="40">
        <f t="shared" si="19"/>
        <v>16050</v>
      </c>
      <c r="P20" s="40">
        <f t="shared" si="19"/>
        <v>16050</v>
      </c>
      <c r="Q20" s="22"/>
      <c r="R20" s="37"/>
      <c r="S20" s="37"/>
    </row>
    <row r="21" spans="1:19" ht="13.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900"/>
    <outlinePr summaryBelow="0" summaryRight="0"/>
  </sheetPr>
  <dimension ref="A1:R131"/>
  <sheetViews>
    <sheetView showGridLines="0" workbookViewId="0"/>
  </sheetViews>
  <sheetFormatPr defaultColWidth="14.44140625" defaultRowHeight="15.75" customHeight="1" x14ac:dyDescent="0.25"/>
  <cols>
    <col min="1" max="1" width="27" customWidth="1"/>
    <col min="2" max="4" width="9.77734375" customWidth="1"/>
    <col min="5" max="5" width="3.44140625" customWidth="1"/>
    <col min="6" max="8" width="9.77734375" customWidth="1"/>
    <col min="9" max="9" width="3.77734375" customWidth="1"/>
    <col min="10" max="12" width="9.77734375" customWidth="1"/>
    <col min="13" max="13" width="4" customWidth="1"/>
    <col min="14" max="14" width="11.33203125" customWidth="1"/>
    <col min="15" max="15" width="11.44140625" customWidth="1"/>
    <col min="16" max="16" width="11.77734375" customWidth="1"/>
    <col min="17" max="18" width="9.77734375" customWidth="1"/>
  </cols>
  <sheetData>
    <row r="1" spans="1:18" ht="18.75" customHeight="1" x14ac:dyDescent="0.3">
      <c r="A1" s="1" t="s">
        <v>62</v>
      </c>
      <c r="B1" s="2" t="s">
        <v>2</v>
      </c>
      <c r="C1" s="2" t="s">
        <v>4</v>
      </c>
      <c r="D1" s="2" t="s">
        <v>5</v>
      </c>
      <c r="E1" s="3"/>
      <c r="F1" s="2" t="s">
        <v>6</v>
      </c>
      <c r="G1" s="4" t="s">
        <v>7</v>
      </c>
      <c r="H1" s="4" t="s">
        <v>8</v>
      </c>
      <c r="I1" s="5"/>
      <c r="J1" s="4" t="s">
        <v>9</v>
      </c>
      <c r="K1" s="4" t="s">
        <v>10</v>
      </c>
      <c r="L1" s="4" t="s">
        <v>11</v>
      </c>
      <c r="M1" s="5"/>
      <c r="N1" s="4" t="s">
        <v>12</v>
      </c>
      <c r="O1" s="4" t="s">
        <v>13</v>
      </c>
      <c r="P1" s="4" t="s">
        <v>14</v>
      </c>
      <c r="Q1" s="5"/>
      <c r="R1" s="5" t="s">
        <v>15</v>
      </c>
    </row>
    <row r="2" spans="1:18" ht="12.75" customHeight="1" x14ac:dyDescent="0.25">
      <c r="A2" s="4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12.75" customHeight="1" x14ac:dyDescent="0.25">
      <c r="A3" s="42" t="s">
        <v>64</v>
      </c>
      <c r="B3" s="22">
        <f t="shared" ref="B3:D3" si="0">SUM(B4:B13)</f>
        <v>650</v>
      </c>
      <c r="C3" s="22">
        <f t="shared" si="0"/>
        <v>650</v>
      </c>
      <c r="D3" s="22">
        <f t="shared" si="0"/>
        <v>650</v>
      </c>
      <c r="E3" s="22"/>
      <c r="F3" s="22">
        <f t="shared" ref="F3:H3" si="1">SUM(F4:F13)</f>
        <v>650</v>
      </c>
      <c r="G3" s="22">
        <f t="shared" si="1"/>
        <v>650</v>
      </c>
      <c r="H3" s="22">
        <f t="shared" si="1"/>
        <v>650</v>
      </c>
      <c r="I3" s="22"/>
      <c r="J3" s="22">
        <f t="shared" ref="J3:L3" si="2">SUM(J4:J13)</f>
        <v>650</v>
      </c>
      <c r="K3" s="22">
        <f t="shared" si="2"/>
        <v>650</v>
      </c>
      <c r="L3" s="22">
        <f t="shared" si="2"/>
        <v>650</v>
      </c>
      <c r="M3" s="22"/>
      <c r="N3" s="22">
        <f t="shared" ref="N3:P3" si="3">SUM(N4:N13)</f>
        <v>650</v>
      </c>
      <c r="O3" s="22">
        <f t="shared" si="3"/>
        <v>650</v>
      </c>
      <c r="P3" s="22">
        <f t="shared" si="3"/>
        <v>650</v>
      </c>
      <c r="Q3" s="22"/>
      <c r="R3" s="22"/>
    </row>
    <row r="4" spans="1:18" ht="12.75" customHeight="1" x14ac:dyDescent="0.25">
      <c r="A4" s="29" t="s">
        <v>66</v>
      </c>
      <c r="B4" s="17">
        <v>500</v>
      </c>
      <c r="C4" s="17">
        <v>500</v>
      </c>
      <c r="D4" s="17">
        <v>500</v>
      </c>
      <c r="E4" s="17"/>
      <c r="F4" s="17">
        <v>500</v>
      </c>
      <c r="G4" s="17">
        <v>500</v>
      </c>
      <c r="H4" s="17">
        <v>500</v>
      </c>
      <c r="I4" s="17"/>
      <c r="J4" s="17">
        <v>500</v>
      </c>
      <c r="K4" s="17">
        <v>500</v>
      </c>
      <c r="L4" s="17">
        <v>500</v>
      </c>
      <c r="M4" s="17"/>
      <c r="N4" s="17">
        <v>500</v>
      </c>
      <c r="O4" s="17">
        <v>500</v>
      </c>
      <c r="P4" s="17">
        <v>500</v>
      </c>
      <c r="Q4" s="17"/>
      <c r="R4" s="17"/>
    </row>
    <row r="5" spans="1:18" ht="12.75" customHeight="1" x14ac:dyDescent="0.25">
      <c r="A5" s="46" t="s">
        <v>68</v>
      </c>
      <c r="B5" s="17">
        <v>75</v>
      </c>
      <c r="C5" s="17">
        <v>75</v>
      </c>
      <c r="D5" s="17">
        <v>75</v>
      </c>
      <c r="E5" s="17"/>
      <c r="F5" s="17">
        <v>75</v>
      </c>
      <c r="G5" s="17">
        <v>75</v>
      </c>
      <c r="H5" s="17">
        <v>75</v>
      </c>
      <c r="I5" s="17"/>
      <c r="J5" s="17">
        <v>75</v>
      </c>
      <c r="K5" s="17">
        <v>75</v>
      </c>
      <c r="L5" s="17">
        <v>75</v>
      </c>
      <c r="M5" s="17"/>
      <c r="N5" s="17">
        <v>75</v>
      </c>
      <c r="O5" s="17">
        <v>75</v>
      </c>
      <c r="P5" s="17">
        <v>75</v>
      </c>
      <c r="Q5" s="17"/>
      <c r="R5" s="17"/>
    </row>
    <row r="6" spans="1:18" ht="12.75" customHeight="1" x14ac:dyDescent="0.25">
      <c r="A6" s="46" t="s">
        <v>69</v>
      </c>
      <c r="B6" s="17">
        <v>50</v>
      </c>
      <c r="C6" s="17">
        <v>50</v>
      </c>
      <c r="D6" s="17">
        <v>50</v>
      </c>
      <c r="E6" s="17"/>
      <c r="F6" s="17">
        <v>50</v>
      </c>
      <c r="G6" s="17">
        <v>50</v>
      </c>
      <c r="H6" s="17">
        <v>50</v>
      </c>
      <c r="I6" s="17"/>
      <c r="J6" s="17">
        <v>50</v>
      </c>
      <c r="K6" s="17">
        <v>50</v>
      </c>
      <c r="L6" s="17">
        <v>50</v>
      </c>
      <c r="M6" s="17"/>
      <c r="N6" s="17">
        <v>50</v>
      </c>
      <c r="O6" s="17">
        <v>50</v>
      </c>
      <c r="P6" s="17">
        <v>50</v>
      </c>
      <c r="Q6" s="17"/>
      <c r="R6" s="17"/>
    </row>
    <row r="7" spans="1:18" ht="12.75" customHeight="1" x14ac:dyDescent="0.25">
      <c r="A7" s="46" t="s">
        <v>70</v>
      </c>
      <c r="B7" s="17">
        <v>25</v>
      </c>
      <c r="C7" s="17">
        <v>25</v>
      </c>
      <c r="D7" s="17">
        <v>25</v>
      </c>
      <c r="E7" s="17"/>
      <c r="F7" s="17">
        <v>25</v>
      </c>
      <c r="G7" s="17">
        <v>25</v>
      </c>
      <c r="H7" s="17">
        <v>25</v>
      </c>
      <c r="I7" s="17"/>
      <c r="J7" s="17">
        <v>25</v>
      </c>
      <c r="K7" s="17">
        <v>25</v>
      </c>
      <c r="L7" s="17">
        <v>25</v>
      </c>
      <c r="M7" s="17"/>
      <c r="N7" s="17">
        <v>25</v>
      </c>
      <c r="O7" s="17">
        <v>25</v>
      </c>
      <c r="P7" s="17">
        <v>25</v>
      </c>
      <c r="Q7" s="17"/>
      <c r="R7" s="17"/>
    </row>
    <row r="8" spans="1:18" ht="12.75" customHeight="1" x14ac:dyDescent="0.25">
      <c r="A8" s="48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ht="12.75" customHeight="1" x14ac:dyDescent="0.25">
      <c r="A9" s="48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ht="12.75" customHeight="1" x14ac:dyDescent="0.25">
      <c r="A10" s="48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12.75" customHeight="1" x14ac:dyDescent="0.25">
      <c r="A11" s="48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12.75" customHeight="1" x14ac:dyDescent="0.25">
      <c r="A12" s="48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12.75" customHeight="1" x14ac:dyDescent="0.25">
      <c r="A13" s="48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12.75" customHeight="1" x14ac:dyDescent="0.25">
      <c r="A14" s="48" t="s">
        <v>73</v>
      </c>
      <c r="B14" s="33">
        <f t="shared" ref="B14:D14" si="4">SUM(B15:B27)</f>
        <v>59</v>
      </c>
      <c r="C14" s="33">
        <f t="shared" si="4"/>
        <v>59</v>
      </c>
      <c r="D14" s="33">
        <f t="shared" si="4"/>
        <v>59</v>
      </c>
      <c r="E14" s="32"/>
      <c r="F14" s="33">
        <f t="shared" ref="F14:H14" si="5">SUM(F15:F27)</f>
        <v>59</v>
      </c>
      <c r="G14" s="33">
        <f t="shared" si="5"/>
        <v>59</v>
      </c>
      <c r="H14" s="33">
        <f t="shared" si="5"/>
        <v>59</v>
      </c>
      <c r="I14" s="32"/>
      <c r="J14" s="33">
        <f t="shared" ref="J14:L14" si="6">SUM(J15:J27)</f>
        <v>59</v>
      </c>
      <c r="K14" s="33">
        <f t="shared" si="6"/>
        <v>59</v>
      </c>
      <c r="L14" s="33">
        <f t="shared" si="6"/>
        <v>59</v>
      </c>
      <c r="M14" s="32"/>
      <c r="N14" s="33">
        <f t="shared" ref="N14:P14" si="7">SUM(N15:N27)</f>
        <v>59</v>
      </c>
      <c r="O14" s="33">
        <f t="shared" si="7"/>
        <v>59</v>
      </c>
      <c r="P14" s="33">
        <f t="shared" si="7"/>
        <v>59</v>
      </c>
      <c r="Q14" s="32"/>
    </row>
    <row r="15" spans="1:18" ht="12.75" customHeight="1" x14ac:dyDescent="0.25">
      <c r="A15" s="46" t="s">
        <v>75</v>
      </c>
      <c r="B15" s="7">
        <v>29</v>
      </c>
      <c r="C15" s="7">
        <v>29</v>
      </c>
      <c r="D15" s="7">
        <v>29</v>
      </c>
      <c r="E15" s="7"/>
      <c r="F15" s="7">
        <v>29</v>
      </c>
      <c r="G15" s="7">
        <v>29</v>
      </c>
      <c r="H15" s="7">
        <v>29</v>
      </c>
      <c r="I15" s="7"/>
      <c r="J15" s="7">
        <v>29</v>
      </c>
      <c r="K15" s="7">
        <v>29</v>
      </c>
      <c r="L15" s="7">
        <v>29</v>
      </c>
      <c r="M15" s="7"/>
      <c r="N15" s="7">
        <v>29</v>
      </c>
      <c r="O15" s="7">
        <v>29</v>
      </c>
      <c r="P15" s="7">
        <v>29</v>
      </c>
      <c r="Q15" s="7"/>
      <c r="R15" s="7"/>
    </row>
    <row r="16" spans="1:18" ht="12.75" customHeight="1" x14ac:dyDescent="0.25">
      <c r="A16" s="46" t="s">
        <v>76</v>
      </c>
      <c r="B16" s="7">
        <v>30</v>
      </c>
      <c r="C16" s="7">
        <v>30</v>
      </c>
      <c r="D16" s="7">
        <v>30</v>
      </c>
      <c r="E16" s="7"/>
      <c r="F16" s="7">
        <v>30</v>
      </c>
      <c r="G16" s="7">
        <v>30</v>
      </c>
      <c r="H16" s="7">
        <v>30</v>
      </c>
      <c r="I16" s="7"/>
      <c r="J16" s="7">
        <v>30</v>
      </c>
      <c r="K16" s="7">
        <v>30</v>
      </c>
      <c r="L16" s="7">
        <v>30</v>
      </c>
      <c r="M16" s="7"/>
      <c r="N16" s="7">
        <v>30</v>
      </c>
      <c r="O16" s="7">
        <v>30</v>
      </c>
      <c r="P16" s="7">
        <v>30</v>
      </c>
      <c r="Q16" s="7"/>
      <c r="R16" s="7"/>
    </row>
    <row r="17" spans="1:18" ht="12.75" customHeight="1" x14ac:dyDescent="0.25">
      <c r="A17" s="4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 ht="12.75" customHeight="1" x14ac:dyDescent="0.25">
      <c r="A18" s="4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22" spans="1:18" ht="12.75" customHeight="1" x14ac:dyDescent="0.25">
      <c r="A22" s="48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12.75" customHeight="1" x14ac:dyDescent="0.25">
      <c r="A23" s="4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t="12.75" customHeight="1" x14ac:dyDescent="0.25">
      <c r="A24" s="48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12.75" customHeight="1" x14ac:dyDescent="0.25">
      <c r="A25" s="4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t="12.75" customHeight="1" x14ac:dyDescent="0.25">
      <c r="A26" s="48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ht="12.75" customHeight="1" x14ac:dyDescent="0.25">
      <c r="A27" s="4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12.75" customHeight="1" x14ac:dyDescent="0.25">
      <c r="A28" s="48" t="s">
        <v>78</v>
      </c>
      <c r="B28" s="9">
        <f t="shared" ref="B28:D28" si="8">SUM(B29:B35)</f>
        <v>60</v>
      </c>
      <c r="C28" s="9">
        <f t="shared" si="8"/>
        <v>60</v>
      </c>
      <c r="D28" s="9">
        <f t="shared" si="8"/>
        <v>60</v>
      </c>
      <c r="E28" s="9"/>
      <c r="F28" s="9">
        <f t="shared" ref="F28:H28" si="9">SUM(F29:F35)</f>
        <v>60</v>
      </c>
      <c r="G28" s="9">
        <f t="shared" si="9"/>
        <v>60</v>
      </c>
      <c r="H28" s="9">
        <f t="shared" si="9"/>
        <v>60</v>
      </c>
      <c r="I28" s="9"/>
      <c r="J28" s="9">
        <f t="shared" ref="J28:L28" si="10">SUM(J29:J35)</f>
        <v>60</v>
      </c>
      <c r="K28" s="9">
        <f t="shared" si="10"/>
        <v>60</v>
      </c>
      <c r="L28" s="9">
        <f t="shared" si="10"/>
        <v>60</v>
      </c>
      <c r="M28" s="9"/>
      <c r="N28" s="9">
        <f t="shared" ref="N28:P28" si="11">SUM(N29:N35)</f>
        <v>60</v>
      </c>
      <c r="O28" s="9">
        <f t="shared" si="11"/>
        <v>60</v>
      </c>
      <c r="P28" s="9">
        <f t="shared" si="11"/>
        <v>60</v>
      </c>
      <c r="Q28" s="7"/>
      <c r="R28" s="7"/>
    </row>
    <row r="29" spans="1:18" ht="12.75" customHeight="1" x14ac:dyDescent="0.25">
      <c r="A29" s="46" t="s">
        <v>81</v>
      </c>
      <c r="B29" s="7">
        <v>45</v>
      </c>
      <c r="C29" s="7">
        <v>45</v>
      </c>
      <c r="D29" s="7">
        <v>45</v>
      </c>
      <c r="E29" s="7"/>
      <c r="F29" s="7">
        <v>45</v>
      </c>
      <c r="G29" s="7">
        <v>45</v>
      </c>
      <c r="H29" s="7">
        <v>45</v>
      </c>
      <c r="I29" s="7"/>
      <c r="J29" s="7">
        <v>45</v>
      </c>
      <c r="K29" s="7">
        <v>45</v>
      </c>
      <c r="L29" s="7">
        <v>45</v>
      </c>
      <c r="M29" s="7"/>
      <c r="N29" s="7">
        <v>45</v>
      </c>
      <c r="O29" s="7">
        <v>45</v>
      </c>
      <c r="P29" s="7">
        <v>45</v>
      </c>
      <c r="Q29" s="7"/>
      <c r="R29" s="7"/>
    </row>
    <row r="30" spans="1:18" ht="12.75" customHeight="1" x14ac:dyDescent="0.25">
      <c r="A30" s="46" t="s">
        <v>82</v>
      </c>
      <c r="B30" s="7">
        <v>15</v>
      </c>
      <c r="C30" s="7">
        <v>15</v>
      </c>
      <c r="D30" s="7">
        <v>15</v>
      </c>
      <c r="E30" s="7"/>
      <c r="F30" s="7">
        <v>15</v>
      </c>
      <c r="G30" s="7">
        <v>15</v>
      </c>
      <c r="H30" s="7">
        <v>15</v>
      </c>
      <c r="I30" s="7"/>
      <c r="J30" s="7">
        <v>15</v>
      </c>
      <c r="K30" s="7">
        <v>15</v>
      </c>
      <c r="L30" s="7">
        <v>15</v>
      </c>
      <c r="M30" s="7"/>
      <c r="N30" s="7">
        <v>15</v>
      </c>
      <c r="O30" s="7">
        <v>15</v>
      </c>
      <c r="P30" s="7">
        <v>15</v>
      </c>
      <c r="Q30" s="7"/>
      <c r="R30" s="7"/>
    </row>
    <row r="31" spans="1:18" ht="12.75" customHeight="1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12.75" customHeight="1" x14ac:dyDescent="0.25">
      <c r="A32" s="4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2.75" customHeight="1" x14ac:dyDescent="0.25">
      <c r="A33" s="4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2.75" customHeight="1" x14ac:dyDescent="0.25">
      <c r="A34" s="4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2.75" customHeight="1" x14ac:dyDescent="0.25">
      <c r="A35" s="4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2.75" customHeight="1" x14ac:dyDescent="0.25">
      <c r="A36" s="48" t="s">
        <v>35</v>
      </c>
      <c r="B36" s="9">
        <f t="shared" ref="B36:D36" si="12">SUM(B37:B61)</f>
        <v>25</v>
      </c>
      <c r="C36" s="9">
        <f t="shared" si="12"/>
        <v>25</v>
      </c>
      <c r="D36" s="9">
        <f t="shared" si="12"/>
        <v>25</v>
      </c>
      <c r="E36" s="9"/>
      <c r="F36" s="9">
        <f t="shared" ref="F36:H36" si="13">SUM(F37:F61)</f>
        <v>25</v>
      </c>
      <c r="G36" s="9">
        <f t="shared" si="13"/>
        <v>25</v>
      </c>
      <c r="H36" s="9">
        <f t="shared" si="13"/>
        <v>25</v>
      </c>
      <c r="I36" s="9"/>
      <c r="J36" s="9">
        <f t="shared" ref="J36:L36" si="14">SUM(J37:J61)</f>
        <v>25</v>
      </c>
      <c r="K36" s="9">
        <f t="shared" si="14"/>
        <v>25</v>
      </c>
      <c r="L36" s="9">
        <f t="shared" si="14"/>
        <v>25</v>
      </c>
      <c r="M36" s="9"/>
      <c r="N36" s="9">
        <f t="shared" ref="N36:P36" si="15">SUM(N37:N61)</f>
        <v>25</v>
      </c>
      <c r="O36" s="9">
        <f t="shared" si="15"/>
        <v>25</v>
      </c>
      <c r="P36" s="9">
        <f t="shared" si="15"/>
        <v>25</v>
      </c>
      <c r="Q36" s="7"/>
      <c r="R36" s="7"/>
    </row>
    <row r="37" spans="1:18" ht="12.75" customHeight="1" x14ac:dyDescent="0.25">
      <c r="A37" s="46" t="s">
        <v>87</v>
      </c>
      <c r="B37" s="7">
        <v>20</v>
      </c>
      <c r="C37" s="7">
        <v>20</v>
      </c>
      <c r="D37" s="7">
        <v>20</v>
      </c>
      <c r="E37" s="7"/>
      <c r="F37" s="7">
        <v>20</v>
      </c>
      <c r="G37" s="7">
        <v>20</v>
      </c>
      <c r="H37" s="7">
        <v>20</v>
      </c>
      <c r="I37" s="7"/>
      <c r="J37" s="7">
        <v>20</v>
      </c>
      <c r="K37" s="7">
        <v>20</v>
      </c>
      <c r="L37" s="7">
        <v>20</v>
      </c>
      <c r="M37" s="7"/>
      <c r="N37" s="7">
        <v>20</v>
      </c>
      <c r="O37" s="7">
        <v>20</v>
      </c>
      <c r="P37" s="7">
        <v>20</v>
      </c>
      <c r="Q37" s="7"/>
      <c r="R37" s="7"/>
    </row>
    <row r="38" spans="1:18" ht="12.75" customHeight="1" x14ac:dyDescent="0.25">
      <c r="A38" s="46" t="s">
        <v>88</v>
      </c>
      <c r="B38" s="7">
        <v>5</v>
      </c>
      <c r="C38" s="7">
        <v>5</v>
      </c>
      <c r="D38" s="7">
        <v>5</v>
      </c>
      <c r="E38" s="7"/>
      <c r="F38" s="7">
        <v>5</v>
      </c>
      <c r="G38" s="7">
        <v>5</v>
      </c>
      <c r="H38" s="7">
        <v>5</v>
      </c>
      <c r="I38" s="7"/>
      <c r="J38" s="7">
        <v>5</v>
      </c>
      <c r="K38" s="7">
        <v>5</v>
      </c>
      <c r="L38" s="7">
        <v>5</v>
      </c>
      <c r="M38" s="7"/>
      <c r="N38" s="7">
        <v>5</v>
      </c>
      <c r="O38" s="7">
        <v>5</v>
      </c>
      <c r="P38" s="7">
        <v>5</v>
      </c>
      <c r="Q38" s="7"/>
      <c r="R38" s="7"/>
    </row>
    <row r="39" spans="1:18" ht="12.75" customHeight="1" x14ac:dyDescent="0.25">
      <c r="A39" s="4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2.75" customHeight="1" x14ac:dyDescent="0.25">
      <c r="A40" s="4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12.75" customHeight="1" x14ac:dyDescent="0.25">
      <c r="A41" s="4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2.75" customHeight="1" x14ac:dyDescent="0.25">
      <c r="A42" s="4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2.75" customHeight="1" x14ac:dyDescent="0.25">
      <c r="A43" s="4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2.75" customHeight="1" x14ac:dyDescent="0.25">
      <c r="A44" s="4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2.75" customHeight="1" x14ac:dyDescent="0.25">
      <c r="A45" s="4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2.75" customHeight="1" x14ac:dyDescent="0.25">
      <c r="A46" s="4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12.75" customHeight="1" x14ac:dyDescent="0.25">
      <c r="A47" s="46"/>
    </row>
    <row r="48" spans="1:18" ht="12.75" customHeight="1" x14ac:dyDescent="0.25">
      <c r="A48" s="46"/>
    </row>
    <row r="49" spans="1:18" ht="12.75" customHeight="1" x14ac:dyDescent="0.25">
      <c r="A49" s="4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12.75" customHeight="1" x14ac:dyDescent="0.25">
      <c r="A50" s="4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12.75" customHeight="1" x14ac:dyDescent="0.25">
      <c r="A51" s="4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12.75" customHeight="1" x14ac:dyDescent="0.25">
      <c r="A52" s="48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2.75" customHeight="1" x14ac:dyDescent="0.25">
      <c r="A53" s="48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2.75" customHeight="1" x14ac:dyDescent="0.25">
      <c r="A54" s="4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12.75" customHeight="1" x14ac:dyDescent="0.25">
      <c r="A55" s="48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12.75" customHeight="1" x14ac:dyDescent="0.25">
      <c r="A56" s="48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2.75" customHeight="1" x14ac:dyDescent="0.25">
      <c r="A57" s="48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2.75" customHeight="1" x14ac:dyDescent="0.25">
      <c r="A58" s="4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12.75" customHeight="1" x14ac:dyDescent="0.25">
      <c r="A59" s="48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12.75" customHeight="1" x14ac:dyDescent="0.25">
      <c r="A60" s="4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12.75" customHeight="1" x14ac:dyDescent="0.25">
      <c r="A61" s="4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12.75" customHeight="1" x14ac:dyDescent="0.25">
      <c r="A62" s="48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12.75" customHeight="1" x14ac:dyDescent="0.25">
      <c r="A63" s="4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12.75" customHeight="1" x14ac:dyDescent="0.25">
      <c r="A64" s="48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12.75" customHeight="1" x14ac:dyDescent="0.25">
      <c r="A65" s="48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2.75" customHeight="1" x14ac:dyDescent="0.25">
      <c r="A66" s="48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12.75" customHeight="1" x14ac:dyDescent="0.25">
      <c r="A67" s="48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2.75" customHeight="1" x14ac:dyDescent="0.25">
      <c r="A68" s="48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</row>
    <row r="69" spans="1:18" ht="12.75" customHeight="1" x14ac:dyDescent="0.25">
      <c r="A69" s="48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2.75" customHeight="1" x14ac:dyDescent="0.25">
      <c r="A70" s="4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12.75" customHeight="1" x14ac:dyDescent="0.25">
      <c r="A71" s="48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</row>
    <row r="72" spans="1:18" ht="12.75" customHeight="1" x14ac:dyDescent="0.25">
      <c r="A72" s="4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12.75" customHeight="1" x14ac:dyDescent="0.25">
      <c r="A73" s="48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12.75" customHeight="1" x14ac:dyDescent="0.25">
      <c r="A74" s="48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2.75" customHeight="1" x14ac:dyDescent="0.25">
      <c r="A75" s="48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12.75" customHeight="1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 spans="1:18" ht="12.75" customHeight="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spans="1:18" ht="12.75" customHeight="1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 spans="1:18" ht="12.75" customHeight="1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 spans="1:18" ht="12.75" customHeight="1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spans="1:18" ht="12.75" customHeight="1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 spans="1:18" ht="12.75" customHeight="1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spans="1:18" ht="12.75" customHeight="1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spans="1:18" ht="12.75" customHeight="1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spans="1:18" ht="12.75" customHeight="1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 spans="1:18" ht="9" customHeight="1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</row>
    <row r="87" spans="1:18" ht="12.75" customHeight="1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 spans="1:18" ht="12.75" customHeight="1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 spans="1:18" ht="12.75" customHeight="1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</row>
    <row r="90" spans="1:18" ht="12.75" customHeight="1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 spans="1:18" ht="12.75" customHeight="1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 spans="1:18" ht="12.75" customHeight="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 spans="1:18" ht="12.75" customHeight="1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</row>
    <row r="94" spans="1:18" ht="12.75" customHeight="1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 spans="1:18" ht="12.75" customHeight="1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 spans="1:18" ht="12.75" customHeight="1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 spans="1:18" ht="12.75" customHeight="1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 spans="1:18" ht="12.75" customHeight="1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 spans="1:18" ht="12.75" customHeight="1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</row>
    <row r="100" spans="1:18" ht="12.75" customHeight="1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 spans="1:18" ht="12.75" customHeight="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</row>
    <row r="102" spans="1:18" ht="12.75" customHeight="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 spans="1:18" ht="12.75" customHeight="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</row>
    <row r="104" spans="1:18" ht="12.75" customHeight="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</row>
    <row r="105" spans="1:18" ht="12.75" customHeight="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</row>
    <row r="106" spans="1:18" ht="12.75" customHeight="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</row>
    <row r="107" spans="1:18" ht="12.75" customHeight="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</row>
    <row r="108" spans="1:18" ht="12.75" customHeight="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</row>
    <row r="109" spans="1:18" ht="12.75" customHeight="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</row>
    <row r="110" spans="1:18" ht="12.75" customHeight="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</row>
    <row r="111" spans="1:18" ht="12.75" customHeight="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</row>
    <row r="112" spans="1:18" ht="12.75" customHeight="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</row>
    <row r="113" spans="1:18" ht="12.75" customHeight="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</row>
    <row r="114" spans="1:18" ht="12.75" customHeigh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</row>
    <row r="115" spans="1:18" ht="12.75" customHeight="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</row>
    <row r="116" spans="1:18" ht="12.75" customHeight="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</row>
    <row r="117" spans="1:18" ht="12.75" customHeight="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</row>
    <row r="118" spans="1:18" ht="12.75" customHeight="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</row>
    <row r="119" spans="1:18" ht="12.75" customHeight="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</row>
    <row r="120" spans="1:18" ht="12.75" customHeight="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 spans="1:18" ht="12.75" customHeight="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 spans="1:18" ht="12.75" customHeight="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spans="1:18" ht="12.75" customHeight="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</row>
    <row r="124" spans="1:18" ht="12.75" customHeight="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 spans="1:18" ht="12.75" customHeight="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</row>
    <row r="126" spans="1:18" ht="12.75" customHeight="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 spans="1:18" ht="12.75" customHeight="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</row>
    <row r="128" spans="1:18" ht="12.75" customHeight="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</row>
    <row r="129" spans="1:18" ht="12.75" customHeight="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 spans="1:18" ht="12.75" customHeight="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 spans="1:18" ht="12.75" customHeight="1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00FF"/>
    <outlinePr summaryBelow="0" summaryRight="0"/>
  </sheetPr>
  <dimension ref="A1:P38"/>
  <sheetViews>
    <sheetView topLeftCell="A16" workbookViewId="0"/>
  </sheetViews>
  <sheetFormatPr defaultColWidth="14.44140625" defaultRowHeight="15.75" customHeight="1" x14ac:dyDescent="0.25"/>
  <cols>
    <col min="1" max="1" width="38.44140625" customWidth="1"/>
    <col min="2" max="4" width="14.44140625" customWidth="1"/>
    <col min="5" max="5" width="3.6640625" customWidth="1"/>
    <col min="9" max="9" width="3.6640625" customWidth="1"/>
    <col min="13" max="13" width="3.6640625" customWidth="1"/>
  </cols>
  <sheetData>
    <row r="1" spans="1:16" ht="17.399999999999999" x14ac:dyDescent="0.3">
      <c r="A1" s="41" t="s">
        <v>61</v>
      </c>
      <c r="B1" s="2" t="s">
        <v>2</v>
      </c>
      <c r="C1" s="2" t="s">
        <v>4</v>
      </c>
      <c r="D1" s="2" t="s">
        <v>5</v>
      </c>
      <c r="E1" s="3"/>
      <c r="F1" s="2" t="s">
        <v>6</v>
      </c>
      <c r="G1" s="4" t="s">
        <v>7</v>
      </c>
      <c r="H1" s="4" t="s">
        <v>8</v>
      </c>
      <c r="I1" s="5"/>
      <c r="J1" s="4" t="s">
        <v>9</v>
      </c>
      <c r="K1" s="4" t="s">
        <v>10</v>
      </c>
      <c r="L1" s="4" t="s">
        <v>11</v>
      </c>
      <c r="M1" s="5"/>
      <c r="N1" s="4" t="s">
        <v>12</v>
      </c>
      <c r="O1" s="4" t="s">
        <v>13</v>
      </c>
      <c r="P1" s="4" t="s">
        <v>14</v>
      </c>
    </row>
    <row r="2" spans="1:16" ht="15.75" customHeight="1" x14ac:dyDescent="0.25">
      <c r="A2" s="43" t="s">
        <v>63</v>
      </c>
    </row>
    <row r="3" spans="1:16" ht="15.75" customHeight="1" x14ac:dyDescent="0.25">
      <c r="A3" s="44" t="s">
        <v>65</v>
      </c>
    </row>
    <row r="4" spans="1:16" ht="15.75" customHeight="1" x14ac:dyDescent="0.25">
      <c r="A4" s="29" t="s">
        <v>67</v>
      </c>
      <c r="B4" s="45">
        <v>1000</v>
      </c>
      <c r="C4" s="45">
        <v>1000</v>
      </c>
      <c r="D4" s="45">
        <v>1000</v>
      </c>
      <c r="F4" s="45">
        <v>1000</v>
      </c>
      <c r="G4" s="45">
        <v>1000</v>
      </c>
      <c r="H4" s="45">
        <v>1000</v>
      </c>
      <c r="J4" s="45">
        <v>1000</v>
      </c>
      <c r="K4" s="45">
        <v>1000</v>
      </c>
      <c r="L4" s="45">
        <v>1000</v>
      </c>
      <c r="N4" s="45">
        <v>1000</v>
      </c>
      <c r="O4" s="45">
        <v>1000</v>
      </c>
      <c r="P4" s="45">
        <v>1000</v>
      </c>
    </row>
    <row r="5" spans="1:16" ht="15.75" customHeight="1" x14ac:dyDescent="0.25">
      <c r="A5" s="29" t="s">
        <v>71</v>
      </c>
      <c r="B5" s="47">
        <v>0.5</v>
      </c>
      <c r="C5" s="47">
        <v>0.5</v>
      </c>
      <c r="D5" s="47">
        <v>0.5</v>
      </c>
      <c r="F5" s="47">
        <v>0.5</v>
      </c>
      <c r="G5" s="47">
        <v>0.5</v>
      </c>
      <c r="H5" s="47">
        <v>0.5</v>
      </c>
      <c r="J5" s="47">
        <v>0.5</v>
      </c>
      <c r="K5" s="47">
        <v>0.5</v>
      </c>
      <c r="L5" s="47">
        <v>0.5</v>
      </c>
      <c r="N5" s="47">
        <v>0.5</v>
      </c>
      <c r="O5" s="47">
        <v>0.5</v>
      </c>
      <c r="P5" s="47">
        <v>0.5</v>
      </c>
    </row>
    <row r="6" spans="1:16" ht="15.75" customHeight="1" x14ac:dyDescent="0.25">
      <c r="A6" s="29" t="s">
        <v>72</v>
      </c>
      <c r="B6" s="49">
        <f t="shared" ref="B6:D6" si="0">B4/B5</f>
        <v>2000</v>
      </c>
      <c r="C6" s="49">
        <f t="shared" si="0"/>
        <v>2000</v>
      </c>
      <c r="D6" s="49">
        <f t="shared" si="0"/>
        <v>2000</v>
      </c>
      <c r="F6" s="49">
        <f t="shared" ref="F6:H6" si="1">F4/F5</f>
        <v>2000</v>
      </c>
      <c r="G6" s="49">
        <f t="shared" si="1"/>
        <v>2000</v>
      </c>
      <c r="H6" s="49">
        <f t="shared" si="1"/>
        <v>2000</v>
      </c>
      <c r="J6" s="49">
        <f t="shared" ref="J6:L6" si="2">J4/J5</f>
        <v>2000</v>
      </c>
      <c r="K6" s="49">
        <f t="shared" si="2"/>
        <v>2000</v>
      </c>
      <c r="L6" s="49">
        <f t="shared" si="2"/>
        <v>2000</v>
      </c>
      <c r="N6" s="49">
        <f t="shared" ref="N6:P6" si="3">N4/N5</f>
        <v>2000</v>
      </c>
      <c r="O6" s="49">
        <f t="shared" si="3"/>
        <v>2000</v>
      </c>
      <c r="P6" s="49">
        <f t="shared" si="3"/>
        <v>2000</v>
      </c>
    </row>
    <row r="7" spans="1:16" ht="15.75" customHeight="1" x14ac:dyDescent="0.25">
      <c r="A7" s="29" t="s">
        <v>74</v>
      </c>
      <c r="B7" s="50">
        <v>1000</v>
      </c>
      <c r="C7" s="50">
        <v>1000</v>
      </c>
      <c r="D7" s="50">
        <v>1000</v>
      </c>
      <c r="F7" s="50">
        <v>1000</v>
      </c>
      <c r="G7" s="50">
        <v>1000</v>
      </c>
      <c r="H7" s="50">
        <v>1000</v>
      </c>
      <c r="J7" s="50">
        <v>1000</v>
      </c>
      <c r="K7" s="50">
        <v>1000</v>
      </c>
      <c r="L7" s="50">
        <v>1000</v>
      </c>
      <c r="N7" s="50">
        <v>1000</v>
      </c>
      <c r="O7" s="50">
        <v>1000</v>
      </c>
      <c r="P7" s="50">
        <v>1000</v>
      </c>
    </row>
    <row r="8" spans="1:16" ht="15.75" customHeight="1" x14ac:dyDescent="0.25">
      <c r="A8" s="29" t="s">
        <v>77</v>
      </c>
      <c r="B8" s="33">
        <f t="shared" ref="B8:D8" si="4">B6+B7</f>
        <v>3000</v>
      </c>
      <c r="C8" s="33">
        <f t="shared" si="4"/>
        <v>3000</v>
      </c>
      <c r="D8" s="33">
        <f t="shared" si="4"/>
        <v>3000</v>
      </c>
      <c r="F8" s="33">
        <f t="shared" ref="F8:H8" si="5">F6+F7</f>
        <v>3000</v>
      </c>
      <c r="G8" s="33">
        <f t="shared" si="5"/>
        <v>3000</v>
      </c>
      <c r="H8" s="33">
        <f t="shared" si="5"/>
        <v>3000</v>
      </c>
      <c r="J8" s="33">
        <f t="shared" ref="J8:L8" si="6">J6+J7</f>
        <v>3000</v>
      </c>
      <c r="K8" s="33">
        <f t="shared" si="6"/>
        <v>3000</v>
      </c>
      <c r="L8" s="33">
        <f t="shared" si="6"/>
        <v>3000</v>
      </c>
      <c r="N8" s="33">
        <f t="shared" ref="N8:P8" si="7">N6+N7</f>
        <v>3000</v>
      </c>
      <c r="O8" s="33">
        <f t="shared" si="7"/>
        <v>3000</v>
      </c>
      <c r="P8" s="33">
        <f t="shared" si="7"/>
        <v>3000</v>
      </c>
    </row>
    <row r="10" spans="1:16" ht="15.75" customHeight="1" x14ac:dyDescent="0.25">
      <c r="A10" s="44" t="s">
        <v>79</v>
      </c>
    </row>
    <row r="11" spans="1:16" ht="15.75" customHeight="1" x14ac:dyDescent="0.25">
      <c r="A11" s="29" t="s">
        <v>80</v>
      </c>
      <c r="B11" s="51">
        <v>0.03</v>
      </c>
      <c r="C11" s="51">
        <v>0.03</v>
      </c>
      <c r="D11" s="51">
        <v>0.03</v>
      </c>
      <c r="F11" s="51">
        <v>0.03</v>
      </c>
      <c r="G11" s="51">
        <v>0.03</v>
      </c>
      <c r="H11" s="51">
        <v>0.03</v>
      </c>
      <c r="J11" s="51">
        <v>0.03</v>
      </c>
      <c r="K11" s="51">
        <v>0.03</v>
      </c>
      <c r="L11" s="51">
        <v>0.03</v>
      </c>
      <c r="N11" s="51">
        <v>0.03</v>
      </c>
      <c r="O11" s="51">
        <v>0.03</v>
      </c>
      <c r="P11" s="51">
        <v>0.03</v>
      </c>
    </row>
    <row r="12" spans="1:16" ht="15.75" customHeight="1" x14ac:dyDescent="0.25">
      <c r="A12" s="29" t="s">
        <v>83</v>
      </c>
      <c r="B12" s="49">
        <f t="shared" ref="B12:D12" si="8">B8*B11</f>
        <v>90</v>
      </c>
      <c r="C12" s="49">
        <f t="shared" si="8"/>
        <v>90</v>
      </c>
      <c r="D12" s="49">
        <f t="shared" si="8"/>
        <v>90</v>
      </c>
      <c r="F12" s="49">
        <f t="shared" ref="F12:H12" si="9">F8*F11</f>
        <v>90</v>
      </c>
      <c r="G12" s="49">
        <f t="shared" si="9"/>
        <v>90</v>
      </c>
      <c r="H12" s="49">
        <f t="shared" si="9"/>
        <v>90</v>
      </c>
      <c r="J12" s="49">
        <f t="shared" ref="J12:L12" si="10">J8*J11</f>
        <v>90</v>
      </c>
      <c r="K12" s="49">
        <f t="shared" si="10"/>
        <v>90</v>
      </c>
      <c r="L12" s="49">
        <f t="shared" si="10"/>
        <v>90</v>
      </c>
      <c r="N12" s="49">
        <f t="shared" ref="N12:P12" si="11">N8*N11</f>
        <v>90</v>
      </c>
      <c r="O12" s="49">
        <f t="shared" si="11"/>
        <v>90</v>
      </c>
      <c r="P12" s="49">
        <f t="shared" si="11"/>
        <v>90</v>
      </c>
    </row>
    <row r="14" spans="1:16" ht="15.75" customHeight="1" x14ac:dyDescent="0.25">
      <c r="A14" s="44" t="s">
        <v>85</v>
      </c>
    </row>
    <row r="15" spans="1:16" ht="15.75" customHeight="1" x14ac:dyDescent="0.25">
      <c r="A15" s="29" t="s">
        <v>86</v>
      </c>
      <c r="B15" s="53">
        <v>50</v>
      </c>
      <c r="C15" s="53">
        <v>50</v>
      </c>
      <c r="D15" s="53">
        <v>50</v>
      </c>
      <c r="F15" s="53">
        <v>50</v>
      </c>
      <c r="G15" s="53">
        <v>50</v>
      </c>
      <c r="H15" s="53">
        <v>50</v>
      </c>
      <c r="J15" s="53">
        <v>50</v>
      </c>
      <c r="K15" s="53">
        <v>50</v>
      </c>
      <c r="L15" s="53">
        <v>50</v>
      </c>
      <c r="N15" s="53">
        <v>50</v>
      </c>
      <c r="O15" s="53">
        <v>50</v>
      </c>
      <c r="P15" s="53">
        <v>50</v>
      </c>
    </row>
    <row r="16" spans="1:16" ht="15.75" customHeight="1" x14ac:dyDescent="0.25">
      <c r="A16" s="29" t="s">
        <v>89</v>
      </c>
      <c r="B16" s="54">
        <f t="shared" ref="B16:D16" si="12">B12*B15</f>
        <v>4500</v>
      </c>
      <c r="C16" s="54">
        <f t="shared" si="12"/>
        <v>4500</v>
      </c>
      <c r="D16" s="54">
        <f t="shared" si="12"/>
        <v>4500</v>
      </c>
      <c r="F16" s="54">
        <f t="shared" ref="F16:H16" si="13">F12*F15</f>
        <v>4500</v>
      </c>
      <c r="G16" s="54">
        <f t="shared" si="13"/>
        <v>4500</v>
      </c>
      <c r="H16" s="54">
        <f t="shared" si="13"/>
        <v>4500</v>
      </c>
      <c r="J16" s="54">
        <f t="shared" ref="J16:L16" si="14">J12*J15</f>
        <v>4500</v>
      </c>
      <c r="K16" s="54">
        <f t="shared" si="14"/>
        <v>4500</v>
      </c>
      <c r="L16" s="54">
        <f t="shared" si="14"/>
        <v>4500</v>
      </c>
      <c r="N16" s="54">
        <f t="shared" ref="N16:P16" si="15">N12*N15</f>
        <v>4500</v>
      </c>
      <c r="O16" s="54">
        <f t="shared" si="15"/>
        <v>4500</v>
      </c>
      <c r="P16" s="54">
        <f t="shared" si="15"/>
        <v>4500</v>
      </c>
    </row>
    <row r="18" spans="1:16" ht="15.75" customHeight="1" x14ac:dyDescent="0.25">
      <c r="A18" s="44" t="s">
        <v>90</v>
      </c>
    </row>
    <row r="19" spans="1:16" ht="15.75" customHeight="1" x14ac:dyDescent="0.25">
      <c r="A19" s="29" t="s">
        <v>91</v>
      </c>
      <c r="B19" s="55">
        <v>0.25</v>
      </c>
      <c r="C19" s="55">
        <v>0.25</v>
      </c>
      <c r="D19" s="55">
        <v>0.25</v>
      </c>
      <c r="F19" s="55">
        <v>0.25</v>
      </c>
      <c r="G19" s="55">
        <v>0.25</v>
      </c>
      <c r="H19" s="55">
        <v>0.25</v>
      </c>
      <c r="J19" s="55">
        <v>0.25</v>
      </c>
      <c r="K19" s="55">
        <v>0.25</v>
      </c>
      <c r="L19" s="55">
        <v>0.25</v>
      </c>
      <c r="N19" s="55">
        <v>0.25</v>
      </c>
      <c r="O19" s="55">
        <v>0.25</v>
      </c>
      <c r="P19" s="55">
        <v>0.25</v>
      </c>
    </row>
    <row r="20" spans="1:16" ht="15.75" customHeight="1" x14ac:dyDescent="0.25">
      <c r="A20" s="29" t="s">
        <v>92</v>
      </c>
      <c r="B20" s="56">
        <v>0</v>
      </c>
      <c r="C20" s="54">
        <f>((B22*(1-C19)))</f>
        <v>3375</v>
      </c>
      <c r="D20" s="54">
        <f>(C22)*(1-D19)</f>
        <v>5906.25</v>
      </c>
      <c r="F20" s="54">
        <f>(D22)*(1-F19)</f>
        <v>7804.6875</v>
      </c>
      <c r="G20" s="54">
        <f t="shared" ref="G20:H20" si="16">(F22)*(1-G19)</f>
        <v>9228.515625</v>
      </c>
      <c r="H20" s="54">
        <f t="shared" si="16"/>
        <v>10296.38671875</v>
      </c>
      <c r="J20" s="54">
        <f>(H22)*(1-J19)</f>
        <v>11097.2900390625</v>
      </c>
      <c r="K20" s="54">
        <f t="shared" ref="K20:L20" si="17">(J22)*(1-K19)</f>
        <v>11697.967529296875</v>
      </c>
      <c r="L20" s="54">
        <f t="shared" si="17"/>
        <v>12148.475646972656</v>
      </c>
      <c r="N20" s="54">
        <f>(L22)*(1-N19)</f>
        <v>12486.356735229492</v>
      </c>
      <c r="O20" s="54">
        <f t="shared" ref="O20:P20" si="18">(N22)*(1-O19)</f>
        <v>12739.767551422119</v>
      </c>
      <c r="P20" s="54">
        <f t="shared" si="18"/>
        <v>12929.825663566589</v>
      </c>
    </row>
    <row r="22" spans="1:16" ht="15.75" customHeight="1" x14ac:dyDescent="0.25">
      <c r="A22" s="44" t="s">
        <v>94</v>
      </c>
      <c r="B22" s="54">
        <f t="shared" ref="B22:D22" si="19">B16+B20</f>
        <v>4500</v>
      </c>
      <c r="C22" s="54">
        <f t="shared" si="19"/>
        <v>7875</v>
      </c>
      <c r="D22" s="54">
        <f t="shared" si="19"/>
        <v>10406.25</v>
      </c>
      <c r="F22" s="54">
        <f>F16+F20</f>
        <v>12304.6875</v>
      </c>
      <c r="G22" s="54">
        <f>G20+G16</f>
        <v>13728.515625</v>
      </c>
      <c r="H22" s="54">
        <f>H16+H20</f>
        <v>14796.38671875</v>
      </c>
      <c r="J22" s="54">
        <f>J16+J20</f>
        <v>15597.2900390625</v>
      </c>
      <c r="K22" s="54">
        <f>K20+K16</f>
        <v>16197.967529296875</v>
      </c>
      <c r="L22" s="54">
        <f>L16+L20</f>
        <v>16648.475646972656</v>
      </c>
      <c r="N22" s="54">
        <f>N16+N20</f>
        <v>16986.356735229492</v>
      </c>
      <c r="O22" s="54">
        <f>O20+O16</f>
        <v>17239.767551422119</v>
      </c>
      <c r="P22" s="54">
        <f>P16+P20</f>
        <v>17429.825663566589</v>
      </c>
    </row>
    <row r="23" spans="1:16" ht="15.75" customHeight="1" x14ac:dyDescent="0.25">
      <c r="A23" s="44"/>
    </row>
    <row r="24" spans="1:16" ht="15.75" customHeight="1" x14ac:dyDescent="0.25">
      <c r="A24" s="44" t="s">
        <v>96</v>
      </c>
    </row>
    <row r="25" spans="1:16" ht="15.75" customHeight="1" x14ac:dyDescent="0.25">
      <c r="A25" s="29" t="s">
        <v>97</v>
      </c>
      <c r="B25" s="54">
        <f t="shared" ref="B25:D25" si="20">B22*3%</f>
        <v>135</v>
      </c>
      <c r="C25" s="54">
        <f t="shared" si="20"/>
        <v>236.25</v>
      </c>
      <c r="D25" s="54">
        <f t="shared" si="20"/>
        <v>312.1875</v>
      </c>
      <c r="F25" s="54">
        <f t="shared" ref="F25:H25" si="21">F22*3%</f>
        <v>369.140625</v>
      </c>
      <c r="G25" s="54">
        <f t="shared" si="21"/>
        <v>411.85546875</v>
      </c>
      <c r="H25" s="54">
        <f t="shared" si="21"/>
        <v>443.8916015625</v>
      </c>
      <c r="J25" s="54">
        <f t="shared" ref="J25:L25" si="22">J22*3%</f>
        <v>467.918701171875</v>
      </c>
      <c r="K25" s="54">
        <f t="shared" si="22"/>
        <v>485.93902587890625</v>
      </c>
      <c r="L25" s="54">
        <f t="shared" si="22"/>
        <v>499.45426940917969</v>
      </c>
      <c r="N25" s="54">
        <f t="shared" ref="N25:P25" si="23">N16*3%</f>
        <v>135</v>
      </c>
      <c r="O25" s="54">
        <f t="shared" si="23"/>
        <v>135</v>
      </c>
      <c r="P25" s="54">
        <f t="shared" si="23"/>
        <v>135</v>
      </c>
    </row>
    <row r="26" spans="1:16" ht="15.75" customHeight="1" x14ac:dyDescent="0.25">
      <c r="A26" s="29" t="s">
        <v>99</v>
      </c>
      <c r="B26" s="53">
        <v>25</v>
      </c>
      <c r="C26" s="53">
        <v>25</v>
      </c>
      <c r="D26" s="53">
        <v>25</v>
      </c>
      <c r="F26" s="53">
        <v>25</v>
      </c>
      <c r="G26" s="53">
        <v>25</v>
      </c>
      <c r="H26" s="53">
        <v>25</v>
      </c>
      <c r="J26" s="53">
        <v>25</v>
      </c>
      <c r="K26" s="53">
        <v>25</v>
      </c>
      <c r="L26" s="53">
        <v>25</v>
      </c>
      <c r="N26" s="53">
        <v>25</v>
      </c>
      <c r="O26" s="53">
        <v>25</v>
      </c>
      <c r="P26" s="53">
        <v>25</v>
      </c>
    </row>
    <row r="27" spans="1:16" ht="15.75" customHeight="1" x14ac:dyDescent="0.25">
      <c r="A27" s="29" t="s">
        <v>100</v>
      </c>
      <c r="B27" s="54">
        <f t="shared" ref="B27:D27" si="24">B12*B26</f>
        <v>2250</v>
      </c>
      <c r="C27" s="54">
        <f t="shared" si="24"/>
        <v>2250</v>
      </c>
      <c r="D27" s="54">
        <f t="shared" si="24"/>
        <v>2250</v>
      </c>
      <c r="F27" s="54">
        <f t="shared" ref="F27:H27" si="25">F12*F26</f>
        <v>2250</v>
      </c>
      <c r="G27" s="54">
        <f t="shared" si="25"/>
        <v>2250</v>
      </c>
      <c r="H27" s="54">
        <f t="shared" si="25"/>
        <v>2250</v>
      </c>
      <c r="J27" s="54">
        <f t="shared" ref="J27:L27" si="26">J12*J26</f>
        <v>2250</v>
      </c>
      <c r="K27" s="54">
        <f t="shared" si="26"/>
        <v>2250</v>
      </c>
      <c r="L27" s="54">
        <f t="shared" si="26"/>
        <v>2250</v>
      </c>
      <c r="N27" s="54">
        <f t="shared" ref="N27:P27" si="27">N12*N26</f>
        <v>2250</v>
      </c>
      <c r="O27" s="54">
        <f t="shared" si="27"/>
        <v>2250</v>
      </c>
      <c r="P27" s="54">
        <f t="shared" si="27"/>
        <v>2250</v>
      </c>
    </row>
    <row r="28" spans="1:16" ht="15.75" customHeight="1" x14ac:dyDescent="0.25">
      <c r="A28" s="29" t="s">
        <v>101</v>
      </c>
      <c r="B28" s="53">
        <v>300</v>
      </c>
      <c r="C28" s="53">
        <v>300</v>
      </c>
      <c r="D28" s="53">
        <v>300</v>
      </c>
      <c r="F28" s="53">
        <v>300</v>
      </c>
      <c r="G28" s="53">
        <v>300</v>
      </c>
      <c r="H28" s="53">
        <v>300</v>
      </c>
      <c r="J28" s="53">
        <v>300</v>
      </c>
      <c r="K28" s="53">
        <v>300</v>
      </c>
      <c r="L28" s="53">
        <v>300</v>
      </c>
      <c r="N28" s="53">
        <v>300</v>
      </c>
      <c r="O28" s="53">
        <v>300</v>
      </c>
      <c r="P28" s="53">
        <v>300</v>
      </c>
    </row>
    <row r="29" spans="1:16" ht="15.75" customHeight="1" x14ac:dyDescent="0.25">
      <c r="A29" s="29" t="s">
        <v>102</v>
      </c>
      <c r="B29" s="53">
        <v>400</v>
      </c>
      <c r="C29" s="53">
        <v>400</v>
      </c>
      <c r="D29" s="53">
        <v>400</v>
      </c>
      <c r="F29" s="53">
        <v>400</v>
      </c>
      <c r="G29" s="53">
        <v>400</v>
      </c>
      <c r="H29" s="53">
        <v>400</v>
      </c>
      <c r="J29" s="53">
        <v>400</v>
      </c>
      <c r="K29" s="53">
        <v>400</v>
      </c>
      <c r="L29" s="53">
        <v>400</v>
      </c>
      <c r="N29" s="53">
        <v>400</v>
      </c>
      <c r="O29" s="53">
        <v>400</v>
      </c>
      <c r="P29" s="53">
        <v>400</v>
      </c>
    </row>
    <row r="30" spans="1:16" ht="15.75" customHeight="1" x14ac:dyDescent="0.25">
      <c r="A30" s="32" t="s">
        <v>31</v>
      </c>
      <c r="B30" s="65">
        <f t="shared" ref="B30:D30" si="28">B25+B27+B28+B29</f>
        <v>3085</v>
      </c>
      <c r="C30" s="65">
        <f t="shared" si="28"/>
        <v>3186.25</v>
      </c>
      <c r="D30" s="65">
        <f t="shared" si="28"/>
        <v>3262.1875</v>
      </c>
      <c r="F30" s="65">
        <f t="shared" ref="F30:H30" si="29">F25+F27+F28+F29</f>
        <v>3319.140625</v>
      </c>
      <c r="G30" s="65">
        <f t="shared" si="29"/>
        <v>3361.85546875</v>
      </c>
      <c r="H30" s="65">
        <f t="shared" si="29"/>
        <v>3393.8916015625</v>
      </c>
      <c r="J30" s="65">
        <f t="shared" ref="J30:L30" si="30">J25+J27+J28+J29</f>
        <v>3417.918701171875</v>
      </c>
      <c r="K30" s="65">
        <f t="shared" si="30"/>
        <v>3435.9390258789063</v>
      </c>
      <c r="L30" s="65">
        <f t="shared" si="30"/>
        <v>3449.4542694091797</v>
      </c>
      <c r="N30" s="65">
        <f t="shared" ref="N30:P30" si="31">N25+N27+N28+N29</f>
        <v>3085</v>
      </c>
      <c r="O30" s="65">
        <f t="shared" si="31"/>
        <v>3085</v>
      </c>
      <c r="P30" s="65">
        <f t="shared" si="31"/>
        <v>3085</v>
      </c>
    </row>
    <row r="32" spans="1:16" ht="15.75" customHeight="1" x14ac:dyDescent="0.25">
      <c r="A32" s="44" t="s">
        <v>103</v>
      </c>
    </row>
    <row r="34" spans="1:16" ht="15.75" customHeight="1" x14ac:dyDescent="0.25">
      <c r="A34" s="29" t="s">
        <v>104</v>
      </c>
      <c r="B34" s="54">
        <f t="shared" ref="B34:D34" si="32">B16+B20</f>
        <v>4500</v>
      </c>
      <c r="C34" s="54">
        <f t="shared" si="32"/>
        <v>7875</v>
      </c>
      <c r="D34" s="54">
        <f t="shared" si="32"/>
        <v>10406.25</v>
      </c>
      <c r="F34" s="54">
        <f t="shared" ref="F34:H34" si="33">F16+F20</f>
        <v>12304.6875</v>
      </c>
      <c r="G34" s="54">
        <f t="shared" si="33"/>
        <v>13728.515625</v>
      </c>
      <c r="H34" s="54">
        <f t="shared" si="33"/>
        <v>14796.38671875</v>
      </c>
      <c r="J34" s="54">
        <f t="shared" ref="J34:L34" si="34">J16+J20</f>
        <v>15597.2900390625</v>
      </c>
      <c r="K34" s="54">
        <f t="shared" si="34"/>
        <v>16197.967529296875</v>
      </c>
      <c r="L34" s="54">
        <f t="shared" si="34"/>
        <v>16648.475646972656</v>
      </c>
      <c r="N34" s="54">
        <f t="shared" ref="N34:P34" si="35">N16+N20</f>
        <v>16986.356735229492</v>
      </c>
      <c r="O34" s="54">
        <f t="shared" si="35"/>
        <v>17239.767551422119</v>
      </c>
      <c r="P34" s="54">
        <f t="shared" si="35"/>
        <v>17429.825663566589</v>
      </c>
    </row>
    <row r="35" spans="1:16" ht="15.75" customHeight="1" x14ac:dyDescent="0.25">
      <c r="A35" s="29" t="s">
        <v>105</v>
      </c>
      <c r="B35" s="54">
        <f t="shared" ref="B35:D35" si="36">B4</f>
        <v>1000</v>
      </c>
      <c r="C35" s="54">
        <f t="shared" si="36"/>
        <v>1000</v>
      </c>
      <c r="D35" s="54">
        <f t="shared" si="36"/>
        <v>1000</v>
      </c>
      <c r="F35" s="54">
        <f t="shared" ref="F35:H35" si="37">F4</f>
        <v>1000</v>
      </c>
      <c r="G35" s="54">
        <f t="shared" si="37"/>
        <v>1000</v>
      </c>
      <c r="H35" s="54">
        <f t="shared" si="37"/>
        <v>1000</v>
      </c>
      <c r="J35" s="54">
        <f t="shared" ref="J35:L35" si="38">J4</f>
        <v>1000</v>
      </c>
      <c r="K35" s="54">
        <f t="shared" si="38"/>
        <v>1000</v>
      </c>
      <c r="L35" s="54">
        <f t="shared" si="38"/>
        <v>1000</v>
      </c>
      <c r="N35" s="54">
        <f t="shared" ref="N35:P35" si="39">N4</f>
        <v>1000</v>
      </c>
      <c r="O35" s="54">
        <f t="shared" si="39"/>
        <v>1000</v>
      </c>
      <c r="P35" s="54">
        <f t="shared" si="39"/>
        <v>1000</v>
      </c>
    </row>
    <row r="36" spans="1:16" ht="15.75" customHeight="1" x14ac:dyDescent="0.25">
      <c r="A36" s="29" t="s">
        <v>106</v>
      </c>
      <c r="B36" s="54">
        <f t="shared" ref="B36:D36" si="40">B30</f>
        <v>3085</v>
      </c>
      <c r="C36" s="54">
        <f t="shared" si="40"/>
        <v>3186.25</v>
      </c>
      <c r="D36" s="54">
        <f t="shared" si="40"/>
        <v>3262.1875</v>
      </c>
      <c r="F36" s="54">
        <f t="shared" ref="F36:H36" si="41">F30</f>
        <v>3319.140625</v>
      </c>
      <c r="G36" s="54">
        <f t="shared" si="41"/>
        <v>3361.85546875</v>
      </c>
      <c r="H36" s="54">
        <f t="shared" si="41"/>
        <v>3393.8916015625</v>
      </c>
      <c r="J36" s="54">
        <f t="shared" ref="J36:L36" si="42">J30</f>
        <v>3417.918701171875</v>
      </c>
      <c r="K36" s="54">
        <f t="shared" si="42"/>
        <v>3435.9390258789063</v>
      </c>
      <c r="L36" s="54">
        <f t="shared" si="42"/>
        <v>3449.4542694091797</v>
      </c>
      <c r="N36" s="54">
        <f t="shared" ref="N36:P36" si="43">N30</f>
        <v>3085</v>
      </c>
      <c r="O36" s="54">
        <f t="shared" si="43"/>
        <v>3085</v>
      </c>
      <c r="P36" s="54">
        <f t="shared" si="43"/>
        <v>3085</v>
      </c>
    </row>
    <row r="37" spans="1:16" ht="15.75" customHeight="1" x14ac:dyDescent="0.25">
      <c r="A37" s="29"/>
    </row>
    <row r="38" spans="1:16" ht="15.75" customHeight="1" x14ac:dyDescent="0.25">
      <c r="A38" s="32" t="s">
        <v>107</v>
      </c>
      <c r="B38" s="65">
        <f t="shared" ref="B38:D38" si="44">B34-B35-B36</f>
        <v>415</v>
      </c>
      <c r="C38" s="65">
        <f t="shared" si="44"/>
        <v>3688.75</v>
      </c>
      <c r="D38" s="65">
        <f t="shared" si="44"/>
        <v>6144.0625</v>
      </c>
      <c r="F38" s="65">
        <f t="shared" ref="F38:H38" si="45">F34-F35-F36</f>
        <v>7985.546875</v>
      </c>
      <c r="G38" s="65">
        <f t="shared" si="45"/>
        <v>9366.66015625</v>
      </c>
      <c r="H38" s="65">
        <f t="shared" si="45"/>
        <v>10402.4951171875</v>
      </c>
      <c r="J38" s="65">
        <f t="shared" ref="J38:L38" si="46">J34-J35-J36</f>
        <v>11179.371337890625</v>
      </c>
      <c r="K38" s="65">
        <f t="shared" si="46"/>
        <v>11762.028503417969</v>
      </c>
      <c r="L38" s="65">
        <f t="shared" si="46"/>
        <v>12199.021377563477</v>
      </c>
      <c r="N38" s="65">
        <f t="shared" ref="N38:P38" si="47">N34-N35-N36</f>
        <v>12901.356735229492</v>
      </c>
      <c r="O38" s="65">
        <f t="shared" si="47"/>
        <v>13154.767551422119</v>
      </c>
      <c r="P38" s="65">
        <f t="shared" si="47"/>
        <v>13344.825663566589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Revenue</vt:lpstr>
      <vt:lpstr>COGS</vt:lpstr>
      <vt:lpstr>Marketing</vt:lpstr>
      <vt:lpstr>Staffing</vt:lpstr>
      <vt:lpstr>Misc Expenses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Guzik, Erik</cp:lastModifiedBy>
  <dcterms:created xsi:type="dcterms:W3CDTF">2025-12-05T02:46:27Z</dcterms:created>
  <dcterms:modified xsi:type="dcterms:W3CDTF">2025-12-05T02:46:27Z</dcterms:modified>
</cp:coreProperties>
</file>